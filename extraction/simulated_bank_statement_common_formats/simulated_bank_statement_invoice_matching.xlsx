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8a03122eb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c617b75c6e4566"/>
    <x:sheet xmlns:r="http://schemas.openxmlformats.org/officeDocument/2006/relationships" name="Bank_Transactions" sheetId="2" r:id="R6a4e4abacc0d46d3"/>
    <x:sheet xmlns:r="http://schemas.openxmlformats.org/officeDocument/2006/relationships" name="Invoice_Index" sheetId="3" r:id="R0867e9b923554995"/>
    <x:sheet xmlns:r="http://schemas.openxmlformats.org/officeDocument/2006/relationships" name="Match_Labels" sheetId="4" r:id="R11823b67fe3e4d38"/>
    <x:sheet xmlns:r="http://schemas.openxmlformats.org/officeDocument/2006/relationships" name="Ignored_Records" sheetId="5" r:id="Rd08dd2d1d5b3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@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6FA"/>
      </x:patternFill>
    </x:fill>
    <x:fill>
      <x:patternFill patternType="solid">
        <x:fgColor rgb="FFF8FBFD"/>
      </x:patternFill>
    </x:fill>
    <x:fill>
      <x:patternFill patternType="solid">
        <x:fgColor rgb="FF1F4E79"/>
      </x:patternFill>
    </x:fill>
  </x:fills>
  <x:borders count="5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0" xfId="0" applyNumberFormat="1" applyFont="1" applyFill="1" applyBorder="1"/>
    <x:xf numFmtId="202" fontId="3" fillId="6" borderId="0" xfId="0" applyNumberFormat="1" applyFont="1" applyFill="1" applyBorder="1"/>
    <x:xf numFmtId="0" fontId="3" fillId="6" borderId="0" xfId="0" applyNumberFormat="1" applyFont="1" applyFill="1" applyBorder="1"/>
    <x:xf numFmtId="202" fontId="3" fillId="6" borderId="2" xfId="0" applyNumberFormat="1" applyFont="1" applyFill="1" applyBorder="1"/>
    <x:xf numFmtId="0" fontId="3" fillId="6" borderId="2" xfId="0" applyNumberFormat="1" applyFont="1" applyFill="1" applyBorder="1"/>
    <x:xf numFmtId="202" fontId="0" fillId="0" borderId="3" xfId="0" applyNumberFormat="1" applyFont="1" applyFill="1" applyBorder="1"/>
    <x:xf numFmtId="0" fontId="0" fillId="0" borderId="3" xfId="0" applyNumberFormat="1" applyFont="1" applyFill="1" applyBorder="1"/>
    <x:xf numFmtId="202" fontId="0" fillId="0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202" fontId="0" fillId="0" borderId="3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7fd95603b4296" /><Relationship Type="http://schemas.openxmlformats.org/officeDocument/2006/relationships/theme" Target="/xl/theme/theme1.xml" Id="R1701ac7228684bfc" /><Relationship Type="http://schemas.openxmlformats.org/officeDocument/2006/relationships/sharedStrings" Target="/xl/sharedStrings.xml" Id="R6fb76c404b0a4dc4" /><Relationship Type="http://schemas.openxmlformats.org/officeDocument/2006/relationships/worksheet" Target="/xl/worksheets/sheet1.xml" Id="R0dc617b75c6e4566" /><Relationship Type="http://schemas.openxmlformats.org/officeDocument/2006/relationships/worksheet" Target="/xl/worksheets/sheet2.xml" Id="R6a4e4abacc0d46d3" /><Relationship Type="http://schemas.openxmlformats.org/officeDocument/2006/relationships/worksheet" Target="/xl/worksheets/sheet3.xml" Id="R0867e9b923554995" /><Relationship Type="http://schemas.openxmlformats.org/officeDocument/2006/relationships/worksheet" Target="/xl/worksheets/sheet4.xml" Id="R11823b67fe3e4d38" /><Relationship Type="http://schemas.openxmlformats.org/officeDocument/2006/relationships/worksheet" Target="/xl/worksheets/sheet5.xml" Id="Rd08dd2d1d5b34bbf" /></Relationships>
</file>

<file path=xl/tables/table1.xml><?xml version="1.0" encoding="utf-8"?>
<x:table xmlns:x="http://schemas.openxmlformats.org/spreadsheetml/2006/main" id="1" name="BankTransactions" displayName="BankTransactions" ref="A1:O74" headerRowCount="1" totalsRowCount="0" totalsRowShown="0">
  <x:autoFilter ref="A1:O74"/>
  <x:tableColumns count="15">
    <x:tableColumn id="1" name="transaction_id"/>
    <x:tableColumn id="2" name="statement_account_id"/>
    <x:tableColumn id="3" name="statement_account_name"/>
    <x:tableColumn id="4" name="transaction_date"/>
    <x:tableColumn id="5" name="value_date"/>
    <x:tableColumn id="6" name="currency"/>
    <x:tableColumn id="7" name="debit_amount"/>
    <x:tableColumn id="8" name="credit_amount"/>
    <x:tableColumn id="9" name="signed_amount"/>
    <x:tableColumn id="10" name="opening_balance"/>
    <x:tableColumn id="11" name="closing_balance"/>
    <x:tableColumn id="12" name="counterparty_name"/>
    <x:tableColumn id="13" name="bank_reference"/>
    <x:tableColumn id="14" name="payment_channel"/>
    <x:tableColumn id="1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Index" displayName="InvoiceIndex" ref="A1:L74" headerRowCount="1" totalsRowCount="0" totalsRowShown="0">
  <x:autoFilter ref="A1:L74"/>
  <x:tableColumns count="12">
    <x:tableColumn id="1" name="invoice_id"/>
    <x:tableColumn id="2" name="invoice_date"/>
    <x:tableColumn id="3" name="vendor"/>
    <x:tableColumn id="4" name="invoice_currency"/>
    <x:tableColumn id="5" name="invoice_total"/>
    <x:tableColumn id="6" name="payment_channel"/>
    <x:tableColumn id="7" name="primary_source_file"/>
    <x:tableColumn id="8" name="primary_source_page"/>
    <x:tableColumn id="9" name="source_occurrences"/>
    <x:tableColumn id="10" name="all_source_refs"/>
    <x:tableColumn id="11" name="transaction_date"/>
    <x:tableColumn id="12" name="account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Labels" displayName="MatchLabels" ref="A1:K74" headerRowCount="1" totalsRowCount="0" totalsRowShown="0">
  <x:autoFilter ref="A1:K74"/>
  <x:tableColumns count="11">
    <x:tableColumn id="1" name="invoice_id"/>
    <x:tableColumn id="2" name="transaction_id"/>
    <x:tableColumn id="3" name="match_label"/>
    <x:tableColumn id="4" name="expected_currency"/>
    <x:tableColumn id="5" name="expected_amount"/>
    <x:tableColumn id="6" name="amount_delta"/>
    <x:tableColumn id="7" name="date_lag_days"/>
    <x:tableColumn id="8" name="matching_keys"/>
    <x:tableColumn id="9" name="invoice_id_count"/>
    <x:tableColumn id="10" name="transaction_id_count"/>
    <x:tableColumn id="11" name="one_to_one_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gnoredRecords" displayName="IgnoredRecords" ref="A1:G14" headerRowCount="1" totalsRowCount="0" totalsRowShown="0">
  <x:autoFilter ref="A1:G14"/>
  <x:tableColumns count="7">
    <x:tableColumn id="1" name="source_file"/>
    <x:tableColumn id="2" name="source_page"/>
    <x:tableColumn id="3" name="invoice_id"/>
    <x:tableColumn id="4" name="reason"/>
    <x:tableColumn id="5" name="amount"/>
    <x:tableColumn id="6" name="invoice_date_raw"/>
    <x:tableColumn id="7" name="vendor_ra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03470c1a494f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51964bb42f42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4cefbd05b245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3cb7753e444c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" hidden="0" customWidth="1"/>
    <x:col min="4" max="4" width="14" hidden="0" customWidth="1"/>
    <x:col min="5" max="5" width="24" hidden="0" customWidth="1"/>
    <x:col min="6" max="6" width="30" hidden="0" customWidth="1"/>
    <x:col min="7" max="7" width="14" hidden="0" customWidth="1"/>
    <x:col min="8" max="8" width="16" hidden="0" customWidth="1"/>
  </x:cols>
  <x:sheetData>
    <x:row r="1" ht="28" customHeight="1">
      <x:c r="A1" s="2" t="str">
        <x:v>Simulated Bank Statement Training Set</x:v>
      </x:c>
    </x:row>
    <x:row r="3">
      <x:c r="A3" s="5" t="str">
        <x:v>Metric</x:v>
      </x:c>
      <x:c r="B3" s="5" t="str">
        <x:v>Value</x:v>
      </x:c>
      <x:c r="D3" s="5" t="str">
        <x:v>Currency</x:v>
      </x:c>
      <x:c r="E3" s="5" t="str">
        <x:v>Account ID</x:v>
      </x:c>
      <x:c r="F3" s="5" t="str">
        <x:v>Account Name</x:v>
      </x:c>
      <x:c r="G3" s="5" t="str">
        <x:v>Transactions</x:v>
      </x:c>
      <x:c r="H3" s="5" t="str">
        <x:v>Total Debit</x:v>
      </x:c>
    </x:row>
    <x:row r="4">
      <x:c r="A4" s="6" t="str">
        <x:v>Unique invoices</x:v>
      </x:c>
      <x:c r="B4" s="6" t="n">
        <x:f>COUNTA('Invoice_Index'!A2:A200)</x:f>
        <x:v>73</x:v>
      </x:c>
      <x:c r="D4" s="6" t="str">
        <x:v>AUD</x:v>
      </x:c>
      <x:c r="E4" s="6" t="str">
        <x:v>LF-OPER-AUD-9020</x:v>
      </x:c>
      <x:c r="F4" s="6" t="str">
        <x:v>Operating AUD Account</x:v>
      </x:c>
      <x:c r="G4" s="6" t="n">
        <x:f>COUNTIF('Bank_Transactions'!F2:F200,D4)</x:f>
        <x:v>5</x:v>
      </x:c>
      <x:c r="H4" s="8" t="n">
        <x:f>SUMIF('Bank_Transactions'!F2:F200,D4,'Bank_Transactions'!G2:G200)</x:f>
        <x:v>666625</x:v>
      </x:c>
    </x:row>
    <x:row r="5">
      <x:c r="A5" s="6" t="str">
        <x:v>Bank transactions</x:v>
      </x:c>
      <x:c r="B5" s="6" t="n">
        <x:f>COUNTA('Bank_Transactions'!A2:A200)</x:f>
        <x:v>73</x:v>
      </x:c>
      <x:c r="D5" s="6" t="str">
        <x:v>EUR</x:v>
      </x:c>
      <x:c r="E5" s="6" t="str">
        <x:v>LF-OPER-EUR-4402</x:v>
      </x:c>
      <x:c r="F5" s="6" t="str">
        <x:v>Operating EUR Account</x:v>
      </x:c>
      <x:c r="G5" s="6" t="n">
        <x:f>COUNTIF('Bank_Transactions'!F2:F200,D5)</x:f>
        <x:v>5</x:v>
      </x:c>
      <x:c r="H5" s="8" t="n">
        <x:f>SUMIF('Bank_Transactions'!F2:F200,D5,'Bank_Transactions'!G2:G200)</x:f>
        <x:v>402430</x:v>
      </x:c>
    </x:row>
    <x:row r="6">
      <x:c r="A6" s="6" t="str">
        <x:v>Positive one-to-one labels</x:v>
      </x:c>
      <x:c r="B6" s="6" t="n">
        <x:f>COUNTIF('Match_Labels'!C2:C200,"positive_1_to_1")</x:f>
        <x:v>73</x:v>
      </x:c>
      <x:c r="D6" s="6" t="str">
        <x:v>GBP</x:v>
      </x:c>
      <x:c r="E6" s="6" t="str">
        <x:v>LF-OPER-GBP-7710</x:v>
      </x:c>
      <x:c r="F6" s="6" t="str">
        <x:v>Operating GBP Account</x:v>
      </x:c>
      <x:c r="G6" s="6" t="n">
        <x:f>COUNTIF('Bank_Transactions'!F2:F200,D6)</x:f>
        <x:v>4</x:v>
      </x:c>
      <x:c r="H6" s="8" t="n">
        <x:f>SUMIF('Bank_Transactions'!F2:F200,D6,'Bank_Transactions'!G2:G200)</x:f>
        <x:v>602600</x:v>
      </x:c>
    </x:row>
    <x:row r="7">
      <x:c r="A7" s="6" t="str">
        <x:v>Excluded extracted records</x:v>
      </x:c>
      <x:c r="B7" s="6" t="n">
        <x:f>COUNTA('Ignored_Records'!A2:A200)</x:f>
        <x:v>13</x:v>
      </x:c>
      <x:c r="D7" s="6" t="str">
        <x:v>HKD</x:v>
      </x:c>
      <x:c r="E7" s="6" t="str">
        <x:v>LF-OPER-HKD-1123</x:v>
      </x:c>
      <x:c r="F7" s="6" t="str">
        <x:v>Operating HKD Account</x:v>
      </x:c>
      <x:c r="G7" s="6" t="n">
        <x:f>COUNTIF('Bank_Transactions'!F2:F200,D7)</x:f>
        <x:v>1</x:v>
      </x:c>
      <x:c r="H7" s="8" t="n">
        <x:f>SUMIF('Bank_Transactions'!F2:F200,D7,'Bank_Transactions'!G2:G200)</x:f>
        <x:v>11958.3</x:v>
      </x:c>
    </x:row>
    <x:row r="8">
      <x:c r="A8" s="6" t="str">
        <x:v>Source records parsed</x:v>
      </x:c>
      <x:c r="B8" s="6" t="n">
        <x:v>118</x:v>
      </x:c>
      <x:c r="D8" s="6" t="str">
        <x:v>SGD</x:v>
      </x:c>
      <x:c r="E8" s="6" t="str">
        <x:v>LF-OPER-SGD-6500</x:v>
      </x:c>
      <x:c r="F8" s="6" t="str">
        <x:v>Operating SGD Account</x:v>
      </x:c>
      <x:c r="G8" s="6" t="n">
        <x:f>COUNTIF('Bank_Transactions'!F2:F200,D8)</x:f>
        <x:v>4</x:v>
      </x:c>
      <x:c r="H8" s="8" t="n">
        <x:f>SUMIF('Bank_Transactions'!F2:F200,D8,'Bank_Transactions'!G2:G200)</x:f>
        <x:v>527500</x:v>
      </x:c>
    </x:row>
    <x:row r="9">
      <x:c r="A9" s="6" t="str">
        <x:v>Generated on</x:v>
      </x:c>
      <x:c r="B9" s="7" t="n">
        <x:v>46212</x:v>
      </x:c>
      <x:c r="D9" s="6" t="str">
        <x:v>USD</x:v>
      </x:c>
      <x:c r="E9" s="6" t="str">
        <x:v>LF-OPER-USD-0881</x:v>
      </x:c>
      <x:c r="F9" s="6" t="str">
        <x:v>Operating USD Account</x:v>
      </x:c>
      <x:c r="G9" s="6" t="n">
        <x:f>COUNTIF('Bank_Transactions'!F2:F200,D9)</x:f>
        <x:v>51</x:v>
      </x:c>
      <x:c r="H9" s="8" t="n">
        <x:f>SUMIF('Bank_Transactions'!F2:F200,D9,'Bank_Transactions'!G2:G200)</x:f>
        <x:v>486460.70999999996</x:v>
      </x:c>
    </x:row>
    <x:row r="10">
      <x:c r="A10" s="6" t="str">
        <x:v>Training design</x:v>
      </x:c>
      <x:c r="B10" s="6" t="str">
        <x:v>One debit per invoice</x:v>
      </x:c>
      <x:c r="D10" s="6" t="str">
        <x:v>USDC</x:v>
      </x:c>
      <x:c r="E10" s="6" t="str">
        <x:v>LF-WALLET-USDC-6627</x:v>
      </x:c>
      <x:c r="F10" s="6" t="str">
        <x:v>Treasury USDC Wallet</x:v>
      </x:c>
      <x:c r="G10" s="6" t="n">
        <x:f>COUNTIF('Bank_Transactions'!F2:F200,D10)</x:f>
        <x:v>1</x:v>
      </x:c>
      <x:c r="H10" s="8" t="n">
        <x:f>SUMIF('Bank_Transactions'!F2:F200,D10,'Bank_Transactions'!G2:G200)</x:f>
        <x:v>2850</x:v>
      </x:c>
    </x:row>
    <x:row r="11">
      <x:c r="D11" s="6" t="str">
        <x:v>USDT</x:v>
      </x:c>
      <x:c r="E11" s="6" t="str">
        <x:v>LF-WALLET-USDT-6627</x:v>
      </x:c>
      <x:c r="F11" s="6" t="str">
        <x:v>Treasury USDT Wallet</x:v>
      </x:c>
      <x:c r="G11" s="6" t="n">
        <x:f>COUNTIF('Bank_Transactions'!F2:F200,D11)</x:f>
        <x:v>2</x:v>
      </x:c>
      <x:c r="H11" s="8" t="n">
        <x:f>SUMIF('Bank_Transactions'!F2:F200,D11,'Bank_Transactions'!G2:G200)</x:f>
        <x:v>45946.34</x:v>
      </x:c>
    </x:row>
    <x:row r="12">
      <x:c r="A12" s="10" t="str">
        <x:v>Notes</x:v>
      </x:c>
      <x:c r="B12" s="10"/>
      <x:c r="C12" s="10"/>
      <x:c r="D12" s="10"/>
      <x:c r="E12" s="10"/>
      <x:c r="F12" s="10"/>
      <x:c r="G12" s="10"/>
      <x:c r="H12" s="10"/>
    </x:row>
    <x:row r="13">
      <x:c r="A13" s="12" t="str">
        <x:v>Bank_Transactions is the simulated statement ledger. Match_Labels contains the supervised one-to-one ground truth. Invoice_Index keeps source files and repeated bundle appearances so image/PDF training samples can be traced back to transactions.</x:v>
      </x:c>
      <x:c r="B13" s="12"/>
      <x:c r="C13" s="12"/>
      <x:c r="D13" s="12"/>
      <x:c r="E13" s="12"/>
      <x:c r="F13" s="12"/>
      <x:c r="G13" s="12"/>
      <x:c r="H13" s="12"/>
    </x:row>
    <x:row r="14">
      <x:c r="A14" s="12" t="str">
        <x:v>Rows in Ignored_Records are continuation pages or extraction fragments that were not treated as separate invoices.</x:v>
      </x:c>
      <x:c r="B14" s="12"/>
      <x:c r="C14" s="12"/>
      <x:c r="D14" s="12"/>
      <x:c r="E14" s="12"/>
      <x:c r="F14" s="12"/>
      <x:c r="G14" s="12"/>
      <x:c r="H14" s="12"/>
    </x:row>
  </x:sheetData>
  <x:mergeCells>
    <x:mergeCell ref="A1:H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30" hidden="0" customWidth="1"/>
    <x:col min="13" max="13" width="36" hidden="0" customWidth="1"/>
    <x:col min="14" max="14" width="18" hidden="0" customWidth="1"/>
    <x:col min="15" max="15" width="12" hidden="0" customWidth="1"/>
  </x:cols>
  <x:sheetData>
    <x:row r="1" ht="15" hidden="0" customHeight="1">
      <x:c r="A1" s="18" t="str">
        <x:v>transaction_id</x:v>
      </x:c>
      <x:c r="B1" s="18" t="str">
        <x:v>statement_account_id</x:v>
      </x:c>
      <x:c r="C1" s="18" t="str">
        <x:v>statement_account_name</x:v>
      </x:c>
      <x:c r="D1" s="19" t="str">
        <x:v>transaction_date</x:v>
      </x:c>
      <x:c r="E1" s="19" t="str">
        <x:v>value_date</x:v>
      </x:c>
      <x:c r="F1" s="18" t="str">
        <x:v>currency</x:v>
      </x:c>
      <x:c r="G1" s="19" t="str">
        <x:v>debit_amount</x:v>
      </x:c>
      <x:c r="H1" s="19" t="str">
        <x:v>credit_amount</x:v>
      </x:c>
      <x:c r="I1" s="19" t="str">
        <x:v>signed_amount</x:v>
      </x:c>
      <x:c r="J1" s="19" t="str">
        <x:v>opening_balance</x:v>
      </x:c>
      <x:c r="K1" s="19" t="str">
        <x:v>closing_balance</x:v>
      </x:c>
      <x:c r="L1" s="18" t="str">
        <x:v>counterparty_name</x:v>
      </x:c>
      <x:c r="M1" s="18" t="str">
        <x:v>bank_reference</x:v>
      </x:c>
      <x:c r="N1" s="18" t="str">
        <x:v>payment_channel</x:v>
      </x:c>
      <x:c r="O1" s="18" t="str">
        <x:v>status</x:v>
      </x:c>
    </x:row>
    <x:row r="2" ht="15" hidden="0" customHeight="1">
      <x:c r="A2" s="20" t="str">
        <x:v>TXN-20250203-0001</x:v>
      </x:c>
      <x:c r="B2" s="20" t="str">
        <x:v>LF-OPER-GBP-7710</x:v>
      </x:c>
      <x:c r="C2" s="20" t="str">
        <x:v>Operating GBP Account</x:v>
      </x:c>
      <x:c r="D2" s="24" t="n">
        <x:v>45691</x:v>
      </x:c>
      <x:c r="E2" s="24" t="n">
        <x:v>45692</x:v>
      </x:c>
      <x:c r="F2" s="20" t="str">
        <x:v>GBP</x:v>
      </x:c>
      <x:c r="G2" s="26" t="n">
        <x:v>217000</x:v>
      </x:c>
      <x:c r="H2" s="26" t="n">
        <x:v>0</x:v>
      </x:c>
      <x:c r="I2" s="26" t="n">
        <x:v>-217000</x:v>
      </x:c>
      <x:c r="J2" s="26" t="n">
        <x:v>390000</x:v>
      </x:c>
      <x:c r="K2" s="26" t="n">
        <x:v>173000</x:v>
      </x:c>
      <x:c r="L2" s="20" t="str">
        <x:v>Greyvane Partners</x:v>
      </x:c>
      <x:c r="M2" s="20" t="str">
        <x:v>PAY GP-2025-1001 Greyvane Partners</x:v>
      </x:c>
      <x:c r="N2" s="20" t="str">
        <x:v>Wire transfer</x:v>
      </x:c>
      <x:c r="O2" s="20" t="str">
        <x:v>Posted</x:v>
      </x:c>
    </x:row>
    <x:row r="3" ht="15" hidden="0" customHeight="1">
      <x:c r="A3" s="20" t="str">
        <x:v>TXN-20250217-0002</x:v>
      </x:c>
      <x:c r="B3" s="20" t="str">
        <x:v>LF-OPER-AUD-9020</x:v>
      </x:c>
      <x:c r="C3" s="20" t="str">
        <x:v>Operating AUD Account</x:v>
      </x:c>
      <x:c r="D3" s="24" t="n">
        <x:v>45705</x:v>
      </x:c>
      <x:c r="E3" s="24" t="n">
        <x:v>45705</x:v>
      </x:c>
      <x:c r="F3" s="20" t="str">
        <x:v>AUD</x:v>
      </x:c>
      <x:c r="G3" s="26" t="n">
        <x:v>92000</x:v>
      </x:c>
      <x:c r="H3" s="26" t="n">
        <x:v>0</x:v>
      </x:c>
      <x:c r="I3" s="26" t="n">
        <x:v>-92000</x:v>
      </x:c>
      <x:c r="J3" s="26" t="n">
        <x:v>520000</x:v>
      </x:c>
      <x:c r="K3" s="26" t="n">
        <x:v>428000</x:v>
      </x:c>
      <x:c r="L3" s="20" t="str">
        <x:v>Thornfield Advisory Ltd</x:v>
      </x:c>
      <x:c r="M3" s="20" t="str">
        <x:v>INV TAL-2025-1000 SETTLEMENT</x:v>
      </x:c>
      <x:c r="N3" s="20" t="str">
        <x:v>Wire transfer</x:v>
      </x:c>
      <x:c r="O3" s="20" t="str">
        <x:v>Posted</x:v>
      </x:c>
    </x:row>
    <x:row r="4" ht="15" hidden="0" customHeight="1">
      <x:c r="A4" s="20" t="str">
        <x:v>TXN-20250331-0003</x:v>
      </x:c>
      <x:c r="B4" s="20" t="str">
        <x:v>LF-OPER-SGD-6500</x:v>
      </x:c>
      <x:c r="C4" s="20" t="str">
        <x:v>Operating SGD Account</x:v>
      </x:c>
      <x:c r="D4" s="24" t="n">
        <x:v>45747</x:v>
      </x:c>
      <x:c r="E4" s="24" t="n">
        <x:v>45747</x:v>
      </x:c>
      <x:c r="F4" s="20" t="str">
        <x:v>SGD</x:v>
      </x:c>
      <x:c r="G4" s="26" t="n">
        <x:v>135000</x:v>
      </x:c>
      <x:c r="H4" s="26" t="n">
        <x:v>0</x:v>
      </x:c>
      <x:c r="I4" s="26" t="n">
        <x:v>-135000</x:v>
      </x:c>
      <x:c r="J4" s="26" t="n">
        <x:v>360000</x:v>
      </x:c>
      <x:c r="K4" s="26" t="n">
        <x:v>225000</x:v>
      </x:c>
      <x:c r="L4" s="20" t="str">
        <x:v>Aspen Hill Partners LLP</x:v>
      </x:c>
      <x:c r="M4" s="20" t="str">
        <x:v>PAY AHP-2025-1018 Aspen Hill Partners LLP</x:v>
      </x:c>
      <x:c r="N4" s="20" t="str">
        <x:v>Wire transfer</x:v>
      </x:c>
      <x:c r="O4" s="20" t="str">
        <x:v>Posted</x:v>
      </x:c>
    </x:row>
    <x:row r="5" ht="15" hidden="0" customHeight="1">
      <x:c r="A5" s="20" t="str">
        <x:v>TXN-20250407-0004</x:v>
      </x:c>
      <x:c r="B5" s="20" t="str">
        <x:v>LF-OPER-EUR-4402</x:v>
      </x:c>
      <x:c r="C5" s="20" t="str">
        <x:v>Operating EUR Account</x:v>
      </x:c>
      <x:c r="D5" s="24" t="n">
        <x:v>45754</x:v>
      </x:c>
      <x:c r="E5" s="24" t="n">
        <x:v>45755</x:v>
      </x:c>
      <x:c r="F5" s="20" t="str">
        <x:v>EUR</x:v>
      </x:c>
      <x:c r="G5" s="26" t="n">
        <x:v>86400</x:v>
      </x:c>
      <x:c r="H5" s="26" t="n">
        <x:v>0</x:v>
      </x:c>
      <x:c r="I5" s="26" t="n">
        <x:v>-86400</x:v>
      </x:c>
      <x:c r="J5" s="26" t="n">
        <x:v>420000</x:v>
      </x:c>
      <x:c r="K5" s="26" t="n">
        <x:v>333600</x:v>
      </x:c>
      <x:c r="L5" s="20" t="str">
        <x:v>Ardent Financial Solutions</x:v>
      </x:c>
      <x:c r="M5" s="20" t="str">
        <x:v>PAY AFS-2025-1005 Ardent Financial Solutions</x:v>
      </x:c>
      <x:c r="N5" s="20" t="str">
        <x:v>Wire transfer</x:v>
      </x:c>
      <x:c r="O5" s="20" t="str">
        <x:v>Posted</x:v>
      </x:c>
    </x:row>
    <x:row r="6" ht="15" hidden="0" customHeight="1">
      <x:c r="A6" s="20" t="str">
        <x:v>TXN-20250430-0005</x:v>
      </x:c>
      <x:c r="B6" s="20" t="str">
        <x:v>LF-OPER-AUD-9020</x:v>
      </x:c>
      <x:c r="C6" s="20" t="str">
        <x:v>Operating AUD Account</x:v>
      </x:c>
      <x:c r="D6" s="24" t="n">
        <x:v>45777</x:v>
      </x:c>
      <x:c r="E6" s="24" t="n">
        <x:v>45777</x:v>
      </x:c>
      <x:c r="F6" s="20" t="str">
        <x:v>AUD</x:v>
      </x:c>
      <x:c r="G6" s="26" t="n">
        <x:v>280025</x:v>
      </x:c>
      <x:c r="H6" s="26" t="n">
        <x:v>0</x:v>
      </x:c>
      <x:c r="I6" s="26" t="n">
        <x:v>-280025</x:v>
      </x:c>
      <x:c r="J6" s="26" t="n">
        <x:v>428000</x:v>
      </x:c>
      <x:c r="K6" s="26" t="n">
        <x:v>147975</x:v>
      </x:c>
      <x:c r="L6" s="20" t="str">
        <x:v>Vantage Advisory Partners</x:v>
      </x:c>
      <x:c r="M6" s="20" t="str">
        <x:v>INV VAP-2025-1006 SETTLEMENT</x:v>
      </x:c>
      <x:c r="N6" s="20" t="str">
        <x:v>Wire transfer</x:v>
      </x:c>
      <x:c r="O6" s="20" t="str">
        <x:v>Posted</x:v>
      </x:c>
    </x:row>
    <x:row r="7" ht="15" hidden="0" customHeight="1">
      <x:c r="A7" s="20" t="str">
        <x:v>TXN-20250509-0006</x:v>
      </x:c>
      <x:c r="B7" s="20" t="str">
        <x:v>LF-OPER-SGD-6500</x:v>
      </x:c>
      <x:c r="C7" s="20" t="str">
        <x:v>Operating SGD Account</x:v>
      </x:c>
      <x:c r="D7" s="24" t="n">
        <x:v>45786</x:v>
      </x:c>
      <x:c r="E7" s="24" t="n">
        <x:v>45786</x:v>
      </x:c>
      <x:c r="F7" s="20" t="str">
        <x:v>SGD</x:v>
      </x:c>
      <x:c r="G7" s="26" t="n">
        <x:v>67850</x:v>
      </x:c>
      <x:c r="H7" s="26" t="n">
        <x:v>0</x:v>
      </x:c>
      <x:c r="I7" s="26" t="n">
        <x:v>-67850</x:v>
      </x:c>
      <x:c r="J7" s="26" t="n">
        <x:v>225000</x:v>
      </x:c>
      <x:c r="K7" s="26" t="n">
        <x:v>157150</x:v>
      </x:c>
      <x:c r="L7" s="20" t="str">
        <x:v>Bridgestone Advisory Ltd</x:v>
      </x:c>
      <x:c r="M7" s="20" t="str">
        <x:v>AP-BAL-2025-1015-Bridgestone Advisory Ltd</x:v>
      </x:c>
      <x:c r="N7" s="20" t="str">
        <x:v>Wire transfer</x:v>
      </x:c>
      <x:c r="O7" s="20" t="str">
        <x:v>Posted</x:v>
      </x:c>
    </x:row>
    <x:row r="8" ht="15" hidden="0" customHeight="1">
      <x:c r="A8" s="20" t="str">
        <x:v>TXN-20250523-0007</x:v>
      </x:c>
      <x:c r="B8" s="20" t="str">
        <x:v>LF-OPER-USD-0881</x:v>
      </x:c>
      <x:c r="C8" s="20" t="str">
        <x:v>Operating USD Account</x:v>
      </x:c>
      <x:c r="D8" s="24" t="n">
        <x:v>45800</x:v>
      </x:c>
      <x:c r="E8" s="24" t="n">
        <x:v>45800</x:v>
      </x:c>
      <x:c r="F8" s="20" t="str">
        <x:v>USD</x:v>
      </x:c>
      <x:c r="G8" s="26" t="n">
        <x:v>109620</x:v>
      </x:c>
      <x:c r="H8" s="26" t="n">
        <x:v>0</x:v>
      </x:c>
      <x:c r="I8" s="26" t="n">
        <x:v>-109620</x:v>
      </x:c>
      <x:c r="J8" s="26" t="n">
        <x:v>750000</x:v>
      </x:c>
      <x:c r="K8" s="26" t="n">
        <x:v>640380</x:v>
      </x:c>
      <x:c r="L8" s="20" t="str">
        <x:v>Kestrel Capital Services</x:v>
      </x:c>
      <x:c r="M8" s="20" t="str">
        <x:v>AP-KCS-2025-1004-Kestrel Capital Services</x:v>
      </x:c>
      <x:c r="N8" s="20" t="str">
        <x:v>Wire transfer</x:v>
      </x:c>
      <x:c r="O8" s="20" t="str">
        <x:v>Posted</x:v>
      </x:c>
    </x:row>
    <x:row r="9" ht="15" hidden="0" customHeight="1">
      <x:c r="A9" s="20" t="str">
        <x:v>TXN-20250623-0008</x:v>
      </x:c>
      <x:c r="B9" s="20" t="str">
        <x:v>LF-OPER-SGD-6500</x:v>
      </x:c>
      <x:c r="C9" s="20" t="str">
        <x:v>Operating SGD Account</x:v>
      </x:c>
      <x:c r="D9" s="24" t="n">
        <x:v>45831</x:v>
      </x:c>
      <x:c r="E9" s="24" t="n">
        <x:v>45832</x:v>
      </x:c>
      <x:c r="F9" s="20" t="str">
        <x:v>SGD</x:v>
      </x:c>
      <x:c r="G9" s="26" t="n">
        <x:v>219650</x:v>
      </x:c>
      <x:c r="H9" s="26" t="n">
        <x:v>0</x:v>
      </x:c>
      <x:c r="I9" s="26" t="n">
        <x:v>-219650</x:v>
      </x:c>
      <x:c r="J9" s="26" t="n">
        <x:v>157150</x:v>
      </x:c>
      <x:c r="K9" s="26" t="n">
        <x:v>-62500</x:v>
      </x:c>
      <x:c r="L9" s="20" t="str">
        <x:v>Crestline Management Ltd</x:v>
      </x:c>
      <x:c r="M9" s="20" t="str">
        <x:v>INV CML-2025-1009 SETTLEMENT</x:v>
      </x:c>
      <x:c r="N9" s="20" t="str">
        <x:v>Wire transfer</x:v>
      </x:c>
      <x:c r="O9" s="20" t="str">
        <x:v>Posted</x:v>
      </x:c>
    </x:row>
    <x:row r="10" ht="15" hidden="0" customHeight="1">
      <x:c r="A10" s="20" t="str">
        <x:v>TXN-20250710-0009</x:v>
      </x:c>
      <x:c r="B10" s="20" t="str">
        <x:v>LF-OPER-AUD-9020</x:v>
      </x:c>
      <x:c r="C10" s="20" t="str">
        <x:v>Operating AUD Account</x:v>
      </x:c>
      <x:c r="D10" s="24" t="n">
        <x:v>45848</x:v>
      </x:c>
      <x:c r="E10" s="24" t="n">
        <x:v>45848</x:v>
      </x:c>
      <x:c r="F10" s="20" t="str">
        <x:v>AUD</x:v>
      </x:c>
      <x:c r="G10" s="26" t="n">
        <x:v>111650</x:v>
      </x:c>
      <x:c r="H10" s="26" t="n">
        <x:v>0</x:v>
      </x:c>
      <x:c r="I10" s="26" t="n">
        <x:v>-111650</x:v>
      </x:c>
      <x:c r="J10" s="26" t="n">
        <x:v>147975</x:v>
      </x:c>
      <x:c r="K10" s="26" t="n">
        <x:v>36325</x:v>
      </x:c>
      <x:c r="L10" s="20" t="str">
        <x:v>Meridian Edge Advisors</x:v>
      </x:c>
      <x:c r="M10" s="20" t="str">
        <x:v>AP-MEA-2025-1017-Meridian Edge Advisors</x:v>
      </x:c>
      <x:c r="N10" s="20" t="str">
        <x:v>Wire transfer</x:v>
      </x:c>
      <x:c r="O10" s="20" t="str">
        <x:v>Posted</x:v>
      </x:c>
    </x:row>
    <x:row r="11" ht="15" hidden="0" customHeight="1">
      <x:c r="A11" s="20" t="str">
        <x:v>TXN-20250715-0010</x:v>
      </x:c>
      <x:c r="B11" s="20" t="str">
        <x:v>LF-OPER-GBP-7710</x:v>
      </x:c>
      <x:c r="C11" s="20" t="str">
        <x:v>Operating GBP Account</x:v>
      </x:c>
      <x:c r="D11" s="24" t="n">
        <x:v>45853</x:v>
      </x:c>
      <x:c r="E11" s="24" t="n">
        <x:v>45853</x:v>
      </x:c>
      <x:c r="F11" s="20" t="str">
        <x:v>GBP</x:v>
      </x:c>
      <x:c r="G11" s="26" t="n">
        <x:v>142450</x:v>
      </x:c>
      <x:c r="H11" s="26" t="n">
        <x:v>0</x:v>
      </x:c>
      <x:c r="I11" s="26" t="n">
        <x:v>-142450</x:v>
      </x:c>
      <x:c r="J11" s="26" t="n">
        <x:v>173000</x:v>
      </x:c>
      <x:c r="K11" s="26" t="n">
        <x:v>30550</x:v>
      </x:c>
      <x:c r="L11" s="20" t="str">
        <x:v>Crestone Wealth Management</x:v>
      </x:c>
      <x:c r="M11" s="20" t="str">
        <x:v>Crestone Wealth Management / CWM-2025-1019</x:v>
      </x:c>
      <x:c r="N11" s="20" t="str">
        <x:v>Wire transfer</x:v>
      </x:c>
      <x:c r="O11" s="20" t="str">
        <x:v>Posted</x:v>
      </x:c>
    </x:row>
    <x:row r="12" ht="15" hidden="0" customHeight="1">
      <x:c r="A12" s="20" t="str">
        <x:v>TXN-20250901-0011</x:v>
      </x:c>
      <x:c r="B12" s="20" t="str">
        <x:v>LF-WALLET-USDT-6627</x:v>
      </x:c>
      <x:c r="C12" s="20" t="str">
        <x:v>Treasury USDT Wallet</x:v>
      </x:c>
      <x:c r="D12" s="24" t="n">
        <x:v>45901</x:v>
      </x:c>
      <x:c r="E12" s="24" t="n">
        <x:v>45901</x:v>
      </x:c>
      <x:c r="F12" s="20" t="str">
        <x:v>USDT</x:v>
      </x:c>
      <x:c r="G12" s="26" t="n">
        <x:v>24946.34</x:v>
      </x:c>
      <x:c r="H12" s="26" t="n">
        <x:v>0</x:v>
      </x:c>
      <x:c r="I12" s="26" t="n">
        <x:v>-24946.34</x:v>
      </x:c>
      <x:c r="J12" s="26" t="n">
        <x:v>250000</x:v>
      </x:c>
      <x:c r="K12" s="26" t="n">
        <x:v>225053.66</x:v>
      </x:c>
      <x:c r="L12" s="20" t="str">
        <x:v>Stellar Vista Partners Limited</x:v>
      </x:c>
      <x:c r="M12" s="20" t="str">
        <x:v>AP-001001-Stellar Vista Partners L</x:v>
      </x:c>
      <x:c r="N12" s="20" t="str">
        <x:v>Crypto transfer</x:v>
      </x:c>
      <x:c r="O12" s="20" t="str">
        <x:v>Posted</x:v>
      </x:c>
    </x:row>
    <x:row r="13" ht="15" hidden="0" customHeight="1">
      <x:c r="A13" s="20" t="str">
        <x:v>TXN-20251219-0012</x:v>
      </x:c>
      <x:c r="B13" s="20" t="str">
        <x:v>LF-OPER-USD-0881</x:v>
      </x:c>
      <x:c r="C13" s="20" t="str">
        <x:v>Operating USD Account</x:v>
      </x:c>
      <x:c r="D13" s="24" t="n">
        <x:v>46010</x:v>
      </x:c>
      <x:c r="E13" s="24" t="n">
        <x:v>46010</x:v>
      </x:c>
      <x:c r="F13" s="20" t="str">
        <x:v>USD</x:v>
      </x:c>
      <x:c r="G13" s="26" t="n">
        <x:v>148500</x:v>
      </x:c>
      <x:c r="H13" s="26" t="n">
        <x:v>0</x:v>
      </x:c>
      <x:c r="I13" s="26" t="n">
        <x:v>-148500</x:v>
      </x:c>
      <x:c r="J13" s="26" t="n">
        <x:v>640380</x:v>
      </x:c>
      <x:c r="K13" s="26" t="n">
        <x:v>491880</x:v>
      </x:c>
      <x:c r="L13" s="20" t="str">
        <x:v>Sable Point Partners</x:v>
      </x:c>
      <x:c r="M13" s="20" t="str">
        <x:v>INV SPP-2025-1011 SETTLEMENT</x:v>
      </x:c>
      <x:c r="N13" s="20" t="str">
        <x:v>Wire transfer</x:v>
      </x:c>
      <x:c r="O13" s="20" t="str">
        <x:v>Posted</x:v>
      </x:c>
    </x:row>
    <x:row r="14" ht="15" hidden="0" customHeight="1">
      <x:c r="A14" s="20" t="str">
        <x:v>TXN-20260101-0013</x:v>
      </x:c>
      <x:c r="B14" s="20" t="str">
        <x:v>LF-OPER-GBP-7710</x:v>
      </x:c>
      <x:c r="C14" s="20" t="str">
        <x:v>Operating GBP Account</x:v>
      </x:c>
      <x:c r="D14" s="24" t="n">
        <x:v>46023</x:v>
      </x:c>
      <x:c r="E14" s="24" t="n">
        <x:v>46023</x:v>
      </x:c>
      <x:c r="F14" s="20" t="str">
        <x:v>GBP</x:v>
      </x:c>
      <x:c r="G14" s="26" t="n">
        <x:v>153450</x:v>
      </x:c>
      <x:c r="H14" s="26" t="n">
        <x:v>0</x:v>
      </x:c>
      <x:c r="I14" s="26" t="n">
        <x:v>-153450</x:v>
      </x:c>
      <x:c r="J14" s="26" t="n">
        <x:v>30550</x:v>
      </x:c>
      <x:c r="K14" s="26" t="n">
        <x:v>-122900</x:v>
      </x:c>
      <x:c r="L14" s="20" t="str">
        <x:v>Northgate Strategy Corp.</x:v>
      </x:c>
      <x:c r="M14" s="20" t="str">
        <x:v>AP-NSC-2025-1016-Northgate Strategy Corp.</x:v>
      </x:c>
      <x:c r="N14" s="20" t="str">
        <x:v>Wire transfer</x:v>
      </x:c>
      <x:c r="O14" s="20" t="str">
        <x:v>Posted</x:v>
      </x:c>
    </x:row>
    <x:row r="15" ht="15" hidden="0" customHeight="1">
      <x:c r="A15" s="20" t="str">
        <x:v>TXN-20260120-0014</x:v>
      </x:c>
      <x:c r="B15" s="20" t="str">
        <x:v>LF-OPER-EUR-4402</x:v>
      </x:c>
      <x:c r="C15" s="20" t="str">
        <x:v>Operating EUR Account</x:v>
      </x:c>
      <x:c r="D15" s="24" t="n">
        <x:v>46042</x:v>
      </x:c>
      <x:c r="E15" s="24" t="n">
        <x:v>46042</x:v>
      </x:c>
      <x:c r="F15" s="20" t="str">
        <x:v>EUR</x:v>
      </x:c>
      <x:c r="G15" s="26" t="n">
        <x:v>63800</x:v>
      </x:c>
      <x:c r="H15" s="26" t="n">
        <x:v>0</x:v>
      </x:c>
      <x:c r="I15" s="26" t="n">
        <x:v>-63800</x:v>
      </x:c>
      <x:c r="J15" s="26" t="n">
        <x:v>333600</x:v>
      </x:c>
      <x:c r="K15" s="26" t="n">
        <x:v>269800</x:v>
      </x:c>
      <x:c r="L15" s="20" t="str">
        <x:v>Halcyon Consulting Group</x:v>
      </x:c>
      <x:c r="M15" s="20" t="str">
        <x:v>PAY HCG-2025-1002 Halcyon Consulting Group</x:v>
      </x:c>
      <x:c r="N15" s="20" t="str">
        <x:v>Wire transfer</x:v>
      </x:c>
      <x:c r="O15" s="20" t="str">
        <x:v>Posted</x:v>
      </x:c>
    </x:row>
    <x:row r="16" ht="15" hidden="0" customHeight="1">
      <x:c r="A16" s="20" t="str">
        <x:v>TXN-20260121-0015</x:v>
      </x:c>
      <x:c r="B16" s="20" t="str">
        <x:v>LF-OPER-AUD-9020</x:v>
      </x:c>
      <x:c r="C16" s="20" t="str">
        <x:v>Operating AUD Account</x:v>
      </x:c>
      <x:c r="D16" s="24" t="n">
        <x:v>46043</x:v>
      </x:c>
      <x:c r="E16" s="24" t="n">
        <x:v>46044</x:v>
      </x:c>
      <x:c r="F16" s="20" t="str">
        <x:v>AUD</x:v>
      </x:c>
      <x:c r="G16" s="26" t="n">
        <x:v>62500</x:v>
      </x:c>
      <x:c r="H16" s="26" t="n">
        <x:v>0</x:v>
      </x:c>
      <x:c r="I16" s="26" t="n">
        <x:v>-62500</x:v>
      </x:c>
      <x:c r="J16" s="26" t="n">
        <x:v>36325</x:v>
      </x:c>
      <x:c r="K16" s="26" t="n">
        <x:v>-26175</x:v>
      </x:c>
      <x:c r="L16" s="20" t="str">
        <x:v>Irongate Advisory GmbH</x:v>
      </x:c>
      <x:c r="M16" s="20" t="str">
        <x:v>INV IAG-2025-1010 SETTLEMENT</x:v>
      </x:c>
      <x:c r="N16" s="20" t="str">
        <x:v>Wire transfer</x:v>
      </x:c>
      <x:c r="O16" s="20" t="str">
        <x:v>Posted</x:v>
      </x:c>
    </x:row>
    <x:row r="17" ht="15" hidden="0" customHeight="1">
      <x:c r="A17" s="20" t="str">
        <x:v>TXN-20260324-0016</x:v>
      </x:c>
      <x:c r="B17" s="20" t="str">
        <x:v>LF-OPER-EUR-4402</x:v>
      </x:c>
      <x:c r="C17" s="20" t="str">
        <x:v>Operating EUR Account</x:v>
      </x:c>
      <x:c r="D17" s="24" t="n">
        <x:v>46105</x:v>
      </x:c>
      <x:c r="E17" s="24" t="n">
        <x:v>46105</x:v>
      </x:c>
      <x:c r="F17" s="20" t="str">
        <x:v>EUR</x:v>
      </x:c>
      <x:c r="G17" s="26" t="n">
        <x:v>107500</x:v>
      </x:c>
      <x:c r="H17" s="26" t="n">
        <x:v>0</x:v>
      </x:c>
      <x:c r="I17" s="26" t="n">
        <x:v>-107500</x:v>
      </x:c>
      <x:c r="J17" s="26" t="n">
        <x:v>269800</x:v>
      </x:c>
      <x:c r="K17" s="26" t="n">
        <x:v>162300</x:v>
      </x:c>
      <x:c r="L17" s="20" t="str">
        <x:v>Ellsworth &amp; Moore LLP</x:v>
      </x:c>
      <x:c r="M17" s="20" t="str">
        <x:v>PAY EML-2026-1008 Ellsworth &amp; Moore LLP</x:v>
      </x:c>
      <x:c r="N17" s="20" t="str">
        <x:v>Wire transfer</x:v>
      </x:c>
      <x:c r="O17" s="20" t="str">
        <x:v>Posted</x:v>
      </x:c>
    </x:row>
    <x:row r="18" ht="15" hidden="0" customHeight="1">
      <x:c r="A18" s="20" t="str">
        <x:v>TXN-20260408-0017</x:v>
      </x:c>
      <x:c r="B18" s="20" t="str">
        <x:v>LF-OPER-GBP-7710</x:v>
      </x:c>
      <x:c r="C18" s="20" t="str">
        <x:v>Operating GBP Account</x:v>
      </x:c>
      <x:c r="D18" s="24" t="n">
        <x:v>46120</x:v>
      </x:c>
      <x:c r="E18" s="24" t="n">
        <x:v>46120</x:v>
      </x:c>
      <x:c r="F18" s="20" t="str">
        <x:v>GBP</x:v>
      </x:c>
      <x:c r="G18" s="26" t="n">
        <x:v>89700</x:v>
      </x:c>
      <x:c r="H18" s="26" t="n">
        <x:v>0</x:v>
      </x:c>
      <x:c r="I18" s="26" t="n">
        <x:v>-89700</x:v>
      </x:c>
      <x:c r="J18" s="26" t="n">
        <x:v>-122900</x:v>
      </x:c>
      <x:c r="K18" s="26" t="n">
        <x:v>-212600</x:v>
      </x:c>
      <x:c r="L18" s="20" t="str">
        <x:v>Redwood Strategy Inc.</x:v>
      </x:c>
      <x:c r="M18" s="20" t="str">
        <x:v>Redwood Strategy Inc. / RSI-2026-1003</x:v>
      </x:c>
      <x:c r="N18" s="20" t="str">
        <x:v>SEPA/IBAN</x:v>
      </x:c>
      <x:c r="O18" s="20" t="str">
        <x:v>Posted</x:v>
      </x:c>
    </x:row>
    <x:row r="19" ht="15" hidden="0" customHeight="1">
      <x:c r="A19" s="20" t="str">
        <x:v>TXN-20260427-0018</x:v>
      </x:c>
      <x:c r="B19" s="20" t="str">
        <x:v>LF-WALLET-USDT-6627</x:v>
      </x:c>
      <x:c r="C19" s="20" t="str">
        <x:v>Treasury USDT Wallet</x:v>
      </x:c>
      <x:c r="D19" s="24" t="n">
        <x:v>46139</x:v>
      </x:c>
      <x:c r="E19" s="24" t="n">
        <x:v>46139</x:v>
      </x:c>
      <x:c r="F19" s="20" t="str">
        <x:v>USDT</x:v>
      </x:c>
      <x:c r="G19" s="26" t="n">
        <x:v>21000</x:v>
      </x:c>
      <x:c r="H19" s="26" t="n">
        <x:v>0</x:v>
      </x:c>
      <x:c r="I19" s="26" t="n">
        <x:v>-21000</x:v>
      </x:c>
      <x:c r="J19" s="26" t="n">
        <x:v>225053.66</x:v>
      </x:c>
      <x:c r="K19" s="26" t="n">
        <x:v>204053.66</x:v>
      </x:c>
      <x:c r="L19" s="20" t="str">
        <x:v>SignalPlus Limited</x:v>
      </x:c>
      <x:c r="M19" s="20" t="str">
        <x:v>INV 555008 SETTLEMENT</x:v>
      </x:c>
      <x:c r="N19" s="20" t="str">
        <x:v>Crypto transfer</x:v>
      </x:c>
      <x:c r="O19" s="20" t="str">
        <x:v>Posted</x:v>
      </x:c>
    </x:row>
    <x:row r="20" ht="15" hidden="0" customHeight="1">
      <x:c r="A20" s="20" t="str">
        <x:v>TXN-20260505-0019</x:v>
      </x:c>
      <x:c r="B20" s="20" t="str">
        <x:v>LF-OPER-USD-0881</x:v>
      </x:c>
      <x:c r="C20" s="20" t="str">
        <x:v>Operating USD Account</x:v>
      </x:c>
      <x:c r="D20" s="24" t="n">
        <x:v>46147</x:v>
      </x:c>
      <x:c r="E20" s="24" t="n">
        <x:v>46147</x:v>
      </x:c>
      <x:c r="F20" s="20" t="str">
        <x:v>USD</x:v>
      </x:c>
      <x:c r="G20" s="26" t="n">
        <x:v>3200</x:v>
      </x:c>
      <x:c r="H20" s="26" t="n">
        <x:v>0</x:v>
      </x:c>
      <x:c r="I20" s="26" t="n">
        <x:v>-3200</x:v>
      </x:c>
      <x:c r="J20" s="26" t="n">
        <x:v>491880</x:v>
      </x:c>
      <x:c r="K20" s="26" t="n">
        <x:v>488680</x:v>
      </x:c>
      <x:c r="L20" s="20" t="str">
        <x:v>North Pier Strategy</x:v>
      </x:c>
      <x:c r="M20" s="20" t="str">
        <x:v>North Pier Strategy / NP-2605-002</x:v>
      </x:c>
      <x:c r="N20" s="20" t="str">
        <x:v>Wire transfer</x:v>
      </x:c>
      <x:c r="O20" s="20" t="str">
        <x:v>Posted</x:v>
      </x:c>
    </x:row>
    <x:row r="21" ht="15" hidden="0" customHeight="1">
      <x:c r="A21" s="20" t="str">
        <x:v>TXN-20260507-0020</x:v>
      </x:c>
      <x:c r="B21" s="20" t="str">
        <x:v>LF-OPER-USD-0881</x:v>
      </x:c>
      <x:c r="C21" s="20" t="str">
        <x:v>Operating USD Account</x:v>
      </x:c>
      <x:c r="D21" s="24" t="n">
        <x:v>46149</x:v>
      </x:c>
      <x:c r="E21" s="24" t="n">
        <x:v>46149</x:v>
      </x:c>
      <x:c r="F21" s="20" t="str">
        <x:v>USD</x:v>
      </x:c>
      <x:c r="G21" s="26" t="n">
        <x:v>103400</x:v>
      </x:c>
      <x:c r="H21" s="26" t="n">
        <x:v>0</x:v>
      </x:c>
      <x:c r="I21" s="26" t="n">
        <x:v>-103400</x:v>
      </x:c>
      <x:c r="J21" s="26" t="n">
        <x:v>488680</x:v>
      </x:c>
      <x:c r="K21" s="26" t="n">
        <x:v>385280</x:v>
      </x:c>
      <x:c r="L21" s="20" t="str">
        <x:v>Caraway Capital Ltd</x:v>
      </x:c>
      <x:c r="M21" s="20" t="str">
        <x:v>AP-CCL-2026-1012-Caraway Capital Ltd</x:v>
      </x:c>
      <x:c r="N21" s="20" t="str">
        <x:v>Wire transfer</x:v>
      </x:c>
      <x:c r="O21" s="20" t="str">
        <x:v>Posted</x:v>
      </x:c>
    </x:row>
    <x:row r="22" ht="15" hidden="0" customHeight="1">
      <x:c r="A22" s="20" t="str">
        <x:v>TXN-20260507-0021</x:v>
      </x:c>
      <x:c r="B22" s="20" t="str">
        <x:v>LF-WALLET-USDC-6627</x:v>
      </x:c>
      <x:c r="C22" s="20" t="str">
        <x:v>Treasury USDC Wallet</x:v>
      </x:c>
      <x:c r="D22" s="24" t="n">
        <x:v>46149</x:v>
      </x:c>
      <x:c r="E22" s="24" t="n">
        <x:v>46149</x:v>
      </x:c>
      <x:c r="F22" s="20" t="str">
        <x:v>USDC</x:v>
      </x:c>
      <x:c r="G22" s="26" t="n">
        <x:v>2850</x:v>
      </x:c>
      <x:c r="H22" s="26" t="n">
        <x:v>0</x:v>
      </x:c>
      <x:c r="I22" s="26" t="n">
        <x:v>-2850</x:v>
      </x:c>
      <x:c r="J22" s="26" t="n">
        <x:v>250000</x:v>
      </x:c>
      <x:c r="K22" s="26" t="n">
        <x:v>247150</x:v>
      </x:c>
      <x:c r="L22" s="20" t="str">
        <x:v>Chain Ops Analytics Pte Ltd</x:v>
      </x:c>
      <x:c r="M22" s="20" t="str">
        <x:v>PAY COA-0526-04 Chain Ops Analytics Pte Ltd</x:v>
      </x:c>
      <x:c r="N22" s="20" t="str">
        <x:v>Crypto transfer</x:v>
      </x:c>
      <x:c r="O22" s="20" t="str">
        <x:v>Posted</x:v>
      </x:c>
    </x:row>
    <x:row r="23" ht="15" hidden="0" customHeight="1">
      <x:c r="A23" s="20" t="str">
        <x:v>TXN-20260508-0022</x:v>
      </x:c>
      <x:c r="B23" s="20" t="str">
        <x:v>LF-OPER-USD-0881</x:v>
      </x:c>
      <x:c r="C23" s="20" t="str">
        <x:v>Operating USD Account</x:v>
      </x:c>
      <x:c r="D23" s="24" t="n">
        <x:v>46150</x:v>
      </x:c>
      <x:c r="E23" s="24" t="n">
        <x:v>46151</x:v>
      </x:c>
      <x:c r="F23" s="20" t="str">
        <x:v>USD</x:v>
      </x:c>
      <x:c r="G23" s="26" t="n">
        <x:v>3680.5</x:v>
      </x:c>
      <x:c r="H23" s="26" t="n">
        <x:v>0</x:v>
      </x:c>
      <x:c r="I23" s="26" t="n">
        <x:v>-3680.5</x:v>
      </x:c>
      <x:c r="J23" s="26" t="n">
        <x:v>385280</x:v>
      </x:c>
      <x:c r="K23" s="26" t="n">
        <x:v>381599.5</x:v>
      </x:c>
      <x:c r="L23" s="20" t="str">
        <x:v>Pixel Forge Design Co</x:v>
      </x:c>
      <x:c r="M23" s="20" t="str">
        <x:v>AP-PFD-2026-55-Pixel Forge Design Co</x:v>
      </x:c>
      <x:c r="N23" s="20" t="str">
        <x:v>Wire transfer</x:v>
      </x:c>
      <x:c r="O23" s="20" t="str">
        <x:v>Posted</x:v>
      </x:c>
    </x:row>
    <x:row r="24" ht="15" hidden="0" customHeight="1">
      <x:c r="A24" s="20" t="str">
        <x:v>TXN-20260511-0023</x:v>
      </x:c>
      <x:c r="B24" s="20" t="str">
        <x:v>LF-OPER-USD-0881</x:v>
      </x:c>
      <x:c r="C24" s="20" t="str">
        <x:v>Operating USD Account</x:v>
      </x:c>
      <x:c r="D24" s="24" t="n">
        <x:v>46153</x:v>
      </x:c>
      <x:c r="E24" s="24" t="n">
        <x:v>46153</x:v>
      </x:c>
      <x:c r="F24" s="20" t="str">
        <x:v>USD</x:v>
      </x:c>
      <x:c r="G24" s="26" t="n">
        <x:v>854.93</x:v>
      </x:c>
      <x:c r="H24" s="26" t="n">
        <x:v>0</x:v>
      </x:c>
      <x:c r="I24" s="26" t="n">
        <x:v>-854.93</x:v>
      </x:c>
      <x:c r="J24" s="26" t="n">
        <x:v>381599.5</x:v>
      </x:c>
      <x:c r="K24" s="26" t="n">
        <x:v>380744.57</x:v>
      </x:c>
      <x:c r="L24" s="20" t="str">
        <x:v>CloudDock SaaS Inc</x:v>
      </x:c>
      <x:c r="M24" s="20" t="str">
        <x:v>AP-CD-INV-7731-CloudDock SaaS Inc</x:v>
      </x:c>
      <x:c r="N24" s="20" t="str">
        <x:v>Card settlement</x:v>
      </x:c>
      <x:c r="O24" s="20" t="str">
        <x:v>Posted</x:v>
      </x:c>
    </x:row>
    <x:row r="25" ht="15" hidden="0" customHeight="1">
      <x:c r="A25" s="20" t="str">
        <x:v>TXN-20260511-0024</x:v>
      </x:c>
      <x:c r="B25" s="20" t="str">
        <x:v>LF-OPER-USD-0881</x:v>
      </x:c>
      <x:c r="C25" s="20" t="str">
        <x:v>Operating USD Account</x:v>
      </x:c>
      <x:c r="D25" s="24" t="n">
        <x:v>46153</x:v>
      </x:c>
      <x:c r="E25" s="24" t="n">
        <x:v>46153</x:v>
      </x:c>
      <x:c r="F25" s="20" t="str">
        <x:v>USD</x:v>
      </x:c>
      <x:c r="G25" s="26" t="n">
        <x:v>4500</x:v>
      </x:c>
      <x:c r="H25" s="26" t="n">
        <x:v>0</x:v>
      </x:c>
      <x:c r="I25" s="26" t="n">
        <x:v>-4500</x:v>
      </x:c>
      <x:c r="J25" s="26" t="n">
        <x:v>380744.57</x:v>
      </x:c>
      <x:c r="K25" s="26" t="n">
        <x:v>376244.57</x:v>
      </x:c>
      <x:c r="L25" s="20" t="str">
        <x:v>Delta CFO Advisory</x:v>
      </x:c>
      <x:c r="M25" s="20" t="str">
        <x:v>AP-DELTA-2026-05-R-Delta CFO Advisory</x:v>
      </x:c>
      <x:c r="N25" s="20" t="str">
        <x:v>FPS</x:v>
      </x:c>
      <x:c r="O25" s="20" t="str">
        <x:v>Posted</x:v>
      </x:c>
    </x:row>
    <x:row r="26" ht="15" hidden="0" customHeight="1">
      <x:c r="A26" s="20" t="str">
        <x:v>TXN-20260512-0025</x:v>
      </x:c>
      <x:c r="B26" s="20" t="str">
        <x:v>LF-OPER-USD-0881</x:v>
      </x:c>
      <x:c r="C26" s="20" t="str">
        <x:v>Operating USD Account</x:v>
      </x:c>
      <x:c r="D26" s="24" t="n">
        <x:v>46154</x:v>
      </x:c>
      <x:c r="E26" s="24" t="n">
        <x:v>46154</x:v>
      </x:c>
      <x:c r="F26" s="20" t="str">
        <x:v>USD</x:v>
      </x:c>
      <x:c r="G26" s="26" t="n">
        <x:v>2750</x:v>
      </x:c>
      <x:c r="H26" s="26" t="n">
        <x:v>0</x:v>
      </x:c>
      <x:c r="I26" s="26" t="n">
        <x:v>-2750</x:v>
      </x:c>
      <x:c r="J26" s="26" t="n">
        <x:v>376244.57</x:v>
      </x:c>
      <x:c r="K26" s="26" t="n">
        <x:v>373494.57</x:v>
      </x:c>
      <x:c r="L26" s="20" t="str">
        <x:v>Blue Peak Legal LLP</x:v>
      </x:c>
      <x:c r="M26" s="20" t="str">
        <x:v>AP-BPL-2026-091-Blue Peak Legal LLP</x:v>
      </x:c>
      <x:c r="N26" s="20" t="str">
        <x:v>Wire transfer</x:v>
      </x:c>
      <x:c r="O26" s="20" t="str">
        <x:v>Posted</x:v>
      </x:c>
    </x:row>
    <x:row r="27" ht="15" hidden="0" customHeight="1">
      <x:c r="A27" s="20" t="str">
        <x:v>TXN-20260513-0026</x:v>
      </x:c>
      <x:c r="B27" s="20" t="str">
        <x:v>LF-OPER-AUD-9020</x:v>
      </x:c>
      <x:c r="C27" s="20" t="str">
        <x:v>Operating AUD Account</x:v>
      </x:c>
      <x:c r="D27" s="24" t="n">
        <x:v>46155</x:v>
      </x:c>
      <x:c r="E27" s="24" t="n">
        <x:v>46155</x:v>
      </x:c>
      <x:c r="F27" s="20" t="str">
        <x:v>AUD</x:v>
      </x:c>
      <x:c r="G27" s="26" t="n">
        <x:v>120450</x:v>
      </x:c>
      <x:c r="H27" s="26" t="n">
        <x:v>0</x:v>
      </x:c>
      <x:c r="I27" s="26" t="n">
        <x:v>-120450</x:v>
      </x:c>
      <x:c r="J27" s="26" t="n">
        <x:v>-26175</x:v>
      </x:c>
      <x:c r="K27" s="26" t="n">
        <x:v>-146625</x:v>
      </x:c>
      <x:c r="L27" s="20" t="str">
        <x:v>Fairwater Group Inc.</x:v>
      </x:c>
      <x:c r="M27" s="20" t="str">
        <x:v>AP-FGI-2026-1014-Fairwater Group Inc.</x:v>
      </x:c>
      <x:c r="N27" s="20" t="str">
        <x:v>Wire transfer</x:v>
      </x:c>
      <x:c r="O27" s="20" t="str">
        <x:v>Posted</x:v>
      </x:c>
    </x:row>
    <x:row r="28" ht="15" hidden="0" customHeight="1">
      <x:c r="A28" s="20" t="str">
        <x:v>TXN-20260514-0027</x:v>
      </x:c>
      <x:c r="B28" s="20" t="str">
        <x:v>LF-OPER-USD-0881</x:v>
      </x:c>
      <x:c r="C28" s="20" t="str">
        <x:v>Operating USD Account</x:v>
      </x:c>
      <x:c r="D28" s="24" t="n">
        <x:v>46156</x:v>
      </x:c>
      <x:c r="E28" s="24" t="n">
        <x:v>46156</x:v>
      </x:c>
      <x:c r="F28" s="20" t="str">
        <x:v>USD</x:v>
      </x:c>
      <x:c r="G28" s="26" t="n">
        <x:v>448.12</x:v>
      </x:c>
      <x:c r="H28" s="26" t="n">
        <x:v>0</x:v>
      </x:c>
      <x:c r="I28" s="26" t="n">
        <x:v>-448.12</x:v>
      </x:c>
      <x:c r="J28" s="26" t="n">
        <x:v>373494.57</x:v>
      </x:c>
      <x:c r="K28" s="26" t="n">
        <x:v>373046.45</x:v>
      </x:c>
      <x:c r="L28" s="20" t="str">
        <x:v>Emerald Office Supplies</x:v>
      </x:c>
      <x:c r="M28" s="20" t="str">
        <x:v>PAY EOS-90031 Emerald Office Supplies</x:v>
      </x:c>
      <x:c r="N28" s="20" t="str">
        <x:v>Wire transfer</x:v>
      </x:c>
      <x:c r="O28" s="20" t="str">
        <x:v>Posted</x:v>
      </x:c>
    </x:row>
    <x:row r="29" ht="15" hidden="0" customHeight="1">
      <x:c r="A29" s="20" t="str">
        <x:v>TXN-20260515-0028</x:v>
      </x:c>
      <x:c r="B29" s="20" t="str">
        <x:v>LF-OPER-USD-0881</x:v>
      </x:c>
      <x:c r="C29" s="20" t="str">
        <x:v>Operating USD Account</x:v>
      </x:c>
      <x:c r="D29" s="24" t="n">
        <x:v>46157</x:v>
      </x:c>
      <x:c r="E29" s="24" t="n">
        <x:v>46157</x:v>
      </x:c>
      <x:c r="F29" s="20" t="str">
        <x:v>USD</x:v>
      </x:c>
      <x:c r="G29" s="26" t="n">
        <x:v>3570</x:v>
      </x:c>
      <x:c r="H29" s="26" t="n">
        <x:v>0</x:v>
      </x:c>
      <x:c r="I29" s="26" t="n">
        <x:v>-3570</x:v>
      </x:c>
      <x:c r="J29" s="26" t="n">
        <x:v>373046.45</x:v>
      </x:c>
      <x:c r="K29" s="26" t="n">
        <x:v>369476.45</x:v>
      </x:c>
      <x:c r="L29" s="20" t="str">
        <x:v>Atlas Compliance Partners Ltd</x:v>
      </x:c>
      <x:c r="M29" s="20" t="str">
        <x:v>PAY ATL-2026-0501 Atlas Compliance Partners Lt</x:v>
      </x:c>
      <x:c r="N29" s="20" t="str">
        <x:v>Wire transfer</x:v>
      </x:c>
      <x:c r="O29" s="20" t="str">
        <x:v>Posted</x:v>
      </x:c>
    </x:row>
    <x:row r="30" ht="15" hidden="0" customHeight="1">
      <x:c r="A30" s="20" t="str">
        <x:v>TXN-20260515-0029</x:v>
      </x:c>
      <x:c r="B30" s="20" t="str">
        <x:v>LF-OPER-USD-0881</x:v>
      </x:c>
      <x:c r="C30" s="20" t="str">
        <x:v>Operating USD Account</x:v>
      </x:c>
      <x:c r="D30" s="24" t="n">
        <x:v>46157</x:v>
      </x:c>
      <x:c r="E30" s="24" t="n">
        <x:v>46157</x:v>
      </x:c>
      <x:c r="F30" s="20" t="str">
        <x:v>USD</x:v>
      </x:c>
      <x:c r="G30" s="26" t="n">
        <x:v>355</x:v>
      </x:c>
      <x:c r="H30" s="26" t="n">
        <x:v>0</x:v>
      </x:c>
      <x:c r="I30" s="26" t="n">
        <x:v>-355</x:v>
      </x:c>
      <x:c r="J30" s="26" t="n">
        <x:v>369476.45</x:v>
      </x:c>
      <x:c r="K30" s="26" t="n">
        <x:v>369121.45</x:v>
      </x:c>
      <x:c r="L30" s="20" t="str">
        <x:v>Maple Courier</x:v>
      </x:c>
      <x:c r="M30" s="20" t="str">
        <x:v>Maple Courier / MC-15-0526</x:v>
      </x:c>
      <x:c r="N30" s="20" t="str">
        <x:v>FPS</x:v>
      </x:c>
      <x:c r="O30" s="20" t="str">
        <x:v>Posted</x:v>
      </x:c>
    </x:row>
    <x:row r="31" ht="15" hidden="0" customHeight="1">
      <x:c r="A31" s="20" t="str">
        <x:v>TXN-20260518-0030</x:v>
      </x:c>
      <x:c r="B31" s="20" t="str">
        <x:v>LF-OPER-USD-0881</x:v>
      </x:c>
      <x:c r="C31" s="20" t="str">
        <x:v>Operating USD Account</x:v>
      </x:c>
      <x:c r="D31" s="24" t="n">
        <x:v>46160</x:v>
      </x:c>
      <x:c r="E31" s="24" t="n">
        <x:v>46160</x:v>
      </x:c>
      <x:c r="F31" s="20" t="str">
        <x:v>USD</x:v>
      </x:c>
      <x:c r="G31" s="26" t="n">
        <x:v>1100</x:v>
      </x:c>
      <x:c r="H31" s="26" t="n">
        <x:v>0</x:v>
      </x:c>
      <x:c r="I31" s="26" t="n">
        <x:v>-1100</x:v>
      </x:c>
      <x:c r="J31" s="26" t="n">
        <x:v>369121.45</x:v>
      </x:c>
      <x:c r="K31" s="26" t="n">
        <x:v>368021.45</x:v>
      </x:c>
      <x:c r="L31" s="20" t="str">
        <x:v>Keystone Data Rooms</x:v>
      </x:c>
      <x:c r="M31" s="20" t="str">
        <x:v>PAY KDR-2026-778 Keystone Data Rooms</x:v>
      </x:c>
      <x:c r="N31" s="20" t="str">
        <x:v>Wire transfer</x:v>
      </x:c>
      <x:c r="O31" s="20" t="str">
        <x:v>Posted</x:v>
      </x:c>
    </x:row>
    <x:row r="32" ht="15" hidden="0" customHeight="1">
      <x:c r="A32" s="20" t="str">
        <x:v>TXN-20260519-0031</x:v>
      </x:c>
      <x:c r="B32" s="20" t="str">
        <x:v>LF-OPER-USD-0881</x:v>
      </x:c>
      <x:c r="C32" s="20" t="str">
        <x:v>Operating USD Account</x:v>
      </x:c>
      <x:c r="D32" s="24" t="n">
        <x:v>46161</x:v>
      </x:c>
      <x:c r="E32" s="24" t="n">
        <x:v>46161</x:v>
      </x:c>
      <x:c r="F32" s="20" t="str">
        <x:v>USD</x:v>
      </x:c>
      <x:c r="G32" s="26" t="n">
        <x:v>440</x:v>
      </x:c>
      <x:c r="H32" s="26" t="n">
        <x:v>0</x:v>
      </x:c>
      <x:c r="I32" s="26" t="n">
        <x:v>-440</x:v>
      </x:c>
      <x:c r="J32" s="26" t="n">
        <x:v>368021.45</x:v>
      </x:c>
      <x:c r="K32" s="26" t="n">
        <x:v>367581.45</x:v>
      </x:c>
      <x:c r="L32" s="20" t="str">
        <x:v>Quarry Cafe Meetings</x:v>
      </x:c>
      <x:c r="M32" s="20" t="str">
        <x:v>AP-QCM-2026-519-Quarry Cafe Meetings</x:v>
      </x:c>
      <x:c r="N32" s="20" t="str">
        <x:v>Card settlement</x:v>
      </x:c>
      <x:c r="O32" s="20" t="str">
        <x:v>Posted</x:v>
      </x:c>
    </x:row>
    <x:row r="33" ht="15" hidden="0" customHeight="1">
      <x:c r="A33" s="20" t="str">
        <x:v>TXN-20260520-0032</x:v>
      </x:c>
      <x:c r="B33" s="20" t="str">
        <x:v>LF-OPER-HKD-1123</x:v>
      </x:c>
      <x:c r="C33" s="20" t="str">
        <x:v>Operating HKD Account</x:v>
      </x:c>
      <x:c r="D33" s="24" t="n">
        <x:v>46162</x:v>
      </x:c>
      <x:c r="E33" s="24" t="n">
        <x:v>46163</x:v>
      </x:c>
      <x:c r="F33" s="20" t="str">
        <x:v>HKD</x:v>
      </x:c>
      <x:c r="G33" s="26" t="n">
        <x:v>11958.3</x:v>
      </x:c>
      <x:c r="H33" s="26" t="n">
        <x:v>0</x:v>
      </x:c>
      <x:c r="I33" s="26" t="n">
        <x:v>-11958.3</x:v>
      </x:c>
      <x:c r="J33" s="26" t="n">
        <x:v>380000</x:v>
      </x:c>
      <x:c r="K33" s="26" t="n">
        <x:v>368041.7</x:v>
      </x:c>
      <x:c r="L33" s="20" t="str">
        <x:v>Jade Event Logistics</x:v>
      </x:c>
      <x:c r="M33" s="20" t="str">
        <x:v>Jade Event Logistics / JEL-2662</x:v>
      </x:c>
      <x:c r="N33" s="20" t="str">
        <x:v>Wire transfer</x:v>
      </x:c>
      <x:c r="O33" s="20" t="str">
        <x:v>Posted</x:v>
      </x:c>
    </x:row>
    <x:row r="34" ht="15" hidden="0" customHeight="1">
      <x:c r="A34" s="20" t="str">
        <x:v>TXN-20260525-0033</x:v>
      </x:c>
      <x:c r="B34" s="20" t="str">
        <x:v>LF-OPER-USD-0881</x:v>
      </x:c>
      <x:c r="C34" s="20" t="str">
        <x:v>Operating USD Account</x:v>
      </x:c>
      <x:c r="D34" s="24" t="n">
        <x:v>46167</x:v>
      </x:c>
      <x:c r="E34" s="24" t="n">
        <x:v>46167</x:v>
      </x:c>
      <x:c r="F34" s="20" t="str">
        <x:v>USD</x:v>
      </x:c>
      <x:c r="G34" s="26" t="n">
        <x:v>1650</x:v>
      </x:c>
      <x:c r="H34" s="26" t="n">
        <x:v>0</x:v>
      </x:c>
      <x:c r="I34" s="26" t="n">
        <x:v>-1650</x:v>
      </x:c>
      <x:c r="J34" s="26" t="n">
        <x:v>367581.45</x:v>
      </x:c>
      <x:c r="K34" s="26" t="n">
        <x:v>365931.45</x:v>
      </x:c>
      <x:c r="L34" s="20" t="str">
        <x:v>Harbor Ledger Services</x:v>
      </x:c>
      <x:c r="M34" s="20" t="str">
        <x:v>AP-HLS-2026-118-Harbor Ledger Services</x:v>
      </x:c>
      <x:c r="N34" s="20" t="str">
        <x:v>Wire transfer</x:v>
      </x:c>
      <x:c r="O34" s="20" t="str">
        <x:v>Posted</x:v>
      </x:c>
    </x:row>
    <x:row r="35" ht="15" hidden="0" customHeight="1">
      <x:c r="A35" s="20" t="str">
        <x:v>TXN-20260525-0034</x:v>
      </x:c>
      <x:c r="B35" s="20" t="str">
        <x:v>LF-OPER-USD-0881</x:v>
      </x:c>
      <x:c r="C35" s="20" t="str">
        <x:v>Operating USD Account</x:v>
      </x:c>
      <x:c r="D35" s="24" t="n">
        <x:v>46167</x:v>
      </x:c>
      <x:c r="E35" s="24" t="n">
        <x:v>46167</x:v>
      </x:c>
      <x:c r="F35" s="20" t="str">
        <x:v>USD</x:v>
      </x:c>
      <x:c r="G35" s="26" t="n">
        <x:v>936</x:v>
      </x:c>
      <x:c r="H35" s="26" t="n">
        <x:v>0</x:v>
      </x:c>
      <x:c r="I35" s="26" t="n">
        <x:v>-936</x:v>
      </x:c>
      <x:c r="J35" s="26" t="n">
        <x:v>365931.45</x:v>
      </x:c>
      <x:c r="K35" s="26" t="n">
        <x:v>364995.45</x:v>
      </x:c>
      <x:c r="L35" s="20" t="str">
        <x:v>Orchid HR Payroll</x:v>
      </x:c>
      <x:c r="M35" s="20" t="str">
        <x:v>Orchid HR Payroll / OHR-2026-117</x:v>
      </x:c>
      <x:c r="N35" s="20" t="str">
        <x:v>Wire transfer</x:v>
      </x:c>
      <x:c r="O35" s="20" t="str">
        <x:v>Posted</x:v>
      </x:c>
    </x:row>
    <x:row r="36" ht="15" hidden="0" customHeight="1">
      <x:c r="A36" s="20" t="str">
        <x:v>TXN-20260525-0035</x:v>
      </x:c>
      <x:c r="B36" s="20" t="str">
        <x:v>LF-OPER-USD-0881</x:v>
      </x:c>
      <x:c r="C36" s="20" t="str">
        <x:v>Operating USD Account</x:v>
      </x:c>
      <x:c r="D36" s="24" t="n">
        <x:v>46167</x:v>
      </x:c>
      <x:c r="E36" s="24" t="n">
        <x:v>46168</x:v>
      </x:c>
      <x:c r="F36" s="20" t="str">
        <x:v>USD</x:v>
      </x:c>
      <x:c r="G36" s="26" t="n">
        <x:v>5900</x:v>
      </x:c>
      <x:c r="H36" s="26" t="n">
        <x:v>0</x:v>
      </x:c>
      <x:c r="I36" s="26" t="n">
        <x:v>-5900</x:v>
      </x:c>
      <x:c r="J36" s="26" t="n">
        <x:v>364995.45</x:v>
      </x:c>
      <x:c r="K36" s="26" t="n">
        <x:v>359095.45</x:v>
      </x:c>
      <x:c r="L36" s="20" t="str">
        <x:v>Pioneer Tax Services</x:v>
      </x:c>
      <x:c r="M36" s="20" t="str">
        <x:v>AP-PTS-2026-1888-Pioneer Tax Services</x:v>
      </x:c>
      <x:c r="N36" s="20" t="str">
        <x:v>Wire transfer</x:v>
      </x:c>
      <x:c r="O36" s="20" t="str">
        <x:v>Posted</x:v>
      </x:c>
    </x:row>
    <x:row r="37" ht="15" hidden="0" customHeight="1">
      <x:c r="A37" s="20" t="str">
        <x:v>TXN-20260527-0036</x:v>
      </x:c>
      <x:c r="B37" s="20" t="str">
        <x:v>LF-OPER-EUR-4402</x:v>
      </x:c>
      <x:c r="C37" s="20" t="str">
        <x:v>Operating EUR Account</x:v>
      </x:c>
      <x:c r="D37" s="24" t="n">
        <x:v>46169</x:v>
      </x:c>
      <x:c r="E37" s="24" t="n">
        <x:v>46169</x:v>
      </x:c>
      <x:c r="F37" s="20" t="str">
        <x:v>EUR</x:v>
      </x:c>
      <x:c r="G37" s="26" t="n">
        <x:v>2730</x:v>
      </x:c>
      <x:c r="H37" s="26" t="n">
        <x:v>0</x:v>
      </x:c>
      <x:c r="I37" s="26" t="n">
        <x:v>-2730</x:v>
      </x:c>
      <x:c r="J37" s="26" t="n">
        <x:v>162300</x:v>
      </x:c>
      <x:c r="K37" s="26" t="n">
        <x:v>159570</x:v>
      </x:c>
      <x:c r="L37" s="20" t="str">
        <x:v>Nord Analytics GmbH</x:v>
      </x:c>
      <x:c r="M37" s="20" t="str">
        <x:v>INV NA-2026-0516 SETTLEMENT</x:v>
      </x:c>
      <x:c r="N37" s="20" t="str">
        <x:v>SEPA/IBAN</x:v>
      </x:c>
      <x:c r="O37" s="20" t="str">
        <x:v>Posted</x:v>
      </x:c>
    </x:row>
    <x:row r="38" ht="15" hidden="0" customHeight="1">
      <x:c r="A38" s="20" t="str">
        <x:v>TXN-20260529-0037</x:v>
      </x:c>
      <x:c r="B38" s="20" t="str">
        <x:v>LF-OPER-USD-0881</x:v>
      </x:c>
      <x:c r="C38" s="20" t="str">
        <x:v>Operating USD Account</x:v>
      </x:c>
      <x:c r="D38" s="24" t="n">
        <x:v>46171</x:v>
      </x:c>
      <x:c r="E38" s="24" t="n">
        <x:v>46171</x:v>
      </x:c>
      <x:c r="F38" s="20" t="str">
        <x:v>USD</x:v>
      </x:c>
      <x:c r="G38" s="26" t="n">
        <x:v>1725</x:v>
      </x:c>
      <x:c r="H38" s="26" t="n">
        <x:v>0</x:v>
      </x:c>
      <x:c r="I38" s="26" t="n">
        <x:v>-1725</x:v>
      </x:c>
      <x:c r="J38" s="26" t="n">
        <x:v>359095.45</x:v>
      </x:c>
      <x:c r="K38" s="26" t="n">
        <x:v>357370.45</x:v>
      </x:c>
      <x:c r="L38" s="20" t="str">
        <x:v>Glasshouse Training Group</x:v>
      </x:c>
      <x:c r="M38" s="20" t="str">
        <x:v>INV PRO-2026-05-11 SETTLEMENT</x:v>
      </x:c>
      <x:c r="N38" s="20" t="str">
        <x:v>Wire transfer</x:v>
      </x:c>
      <x:c r="O38" s="20" t="str">
        <x:v>Posted</x:v>
      </x:c>
    </x:row>
    <x:row r="39" ht="15" hidden="0" customHeight="1">
      <x:c r="A39" s="20" t="str">
        <x:v>TXN-20260601-0038</x:v>
      </x:c>
      <x:c r="B39" s="20" t="str">
        <x:v>LF-OPER-USD-0881</x:v>
      </x:c>
      <x:c r="C39" s="20" t="str">
        <x:v>Operating USD Account</x:v>
      </x:c>
      <x:c r="D39" s="24" t="n">
        <x:v>46174</x:v>
      </x:c>
      <x:c r="E39" s="24" t="n">
        <x:v>46174</x:v>
      </x:c>
      <x:c r="F39" s="20" t="str">
        <x:v>USD</x:v>
      </x:c>
      <x:c r="G39" s="26" t="n">
        <x:v>5360</x:v>
      </x:c>
      <x:c r="H39" s="26" t="n">
        <x:v>0</x:v>
      </x:c>
      <x:c r="I39" s="26" t="n">
        <x:v>-5360</x:v>
      </x:c>
      <x:c r="J39" s="26" t="n">
        <x:v>357370.45</x:v>
      </x:c>
      <x:c r="K39" s="26" t="n">
        <x:v>352010.45</x:v>
      </x:c>
      <x:c r="L39" s="20" t="str">
        <x:v>Lantern Audit Support</x:v>
      </x:c>
      <x:c r="M39" s="20" t="str">
        <x:v>Lantern Audit Support / LAS-2026-0140</x:v>
      </x:c>
      <x:c r="N39" s="20" t="str">
        <x:v>Wire transfer</x:v>
      </x:c>
      <x:c r="O39" s="20" t="str">
        <x:v>Posted</x:v>
      </x:c>
    </x:row>
    <x:row r="40" ht="15" hidden="0" customHeight="1">
      <x:c r="A40" s="20" t="str">
        <x:v>TXN-20260603-0039</x:v>
      </x:c>
      <x:c r="B40" s="20" t="str">
        <x:v>LF-OPER-USD-0881</x:v>
      </x:c>
      <x:c r="C40" s="20" t="str">
        <x:v>Operating USD Account</x:v>
      </x:c>
      <x:c r="D40" s="24" t="n">
        <x:v>46176</x:v>
      </x:c>
      <x:c r="E40" s="24" t="n">
        <x:v>46176</x:v>
      </x:c>
      <x:c r="F40" s="20" t="str">
        <x:v>USD</x:v>
      </x:c>
      <x:c r="G40" s="26" t="n">
        <x:v>2850</x:v>
      </x:c>
      <x:c r="H40" s="26" t="n">
        <x:v>0</x:v>
      </x:c>
      <x:c r="I40" s="26" t="n">
        <x:v>-2850</x:v>
      </x:c>
      <x:c r="J40" s="26" t="n">
        <x:v>352010.45</x:v>
      </x:c>
      <x:c r="K40" s="26" t="n">
        <x:v>349160.45</x:v>
      </x:c>
      <x:c r="L40" s="20" t="str">
        <x:v>Frontier Risk Consulting</x:v>
      </x:c>
      <x:c r="M40" s="20" t="str">
        <x:v>INV FRC-2026-144 SETTLEMENT</x:v>
      </x:c>
      <x:c r="N40" s="20" t="str">
        <x:v>Wire transfer</x:v>
      </x:c>
      <x:c r="O40" s="20" t="str">
        <x:v>Posted</x:v>
      </x:c>
    </x:row>
    <x:row r="41" ht="15" hidden="0" customHeight="1">
      <x:c r="A41" s="20" t="str">
        <x:v>TXN-20260605-0040</x:v>
      </x:c>
      <x:c r="B41" s="20" t="str">
        <x:v>LF-OPER-USD-0881</x:v>
      </x:c>
      <x:c r="C41" s="20" t="str">
        <x:v>Operating USD Account</x:v>
      </x:c>
      <x:c r="D41" s="24" t="n">
        <x:v>46178</x:v>
      </x:c>
      <x:c r="E41" s="24" t="n">
        <x:v>46178</x:v>
      </x:c>
      <x:c r="F41" s="20" t="str">
        <x:v>USD</x:v>
      </x:c>
      <x:c r="G41" s="26" t="n">
        <x:v>1800</x:v>
      </x:c>
      <x:c r="H41" s="26" t="n">
        <x:v>0</x:v>
      </x:c>
      <x:c r="I41" s="26" t="n">
        <x:v>-1800</x:v>
      </x:c>
      <x:c r="J41" s="26" t="n">
        <x:v>349160.45</x:v>
      </x:c>
      <x:c r="K41" s="26" t="n">
        <x:v>347360.45</x:v>
      </x:c>
      <x:c r="L41" s="20" t="str">
        <x:v>Summit Governance Labs</x:v>
      </x:c>
      <x:c r="M41" s="20" t="str">
        <x:v>INV SGL-2026-0520 SETTLEMENT</x:v>
      </x:c>
      <x:c r="N41" s="20" t="str">
        <x:v>Wire transfer</x:v>
      </x:c>
      <x:c r="O41" s="20" t="str">
        <x:v>Posted</x:v>
      </x:c>
    </x:row>
    <x:row r="42" ht="15" hidden="0" customHeight="1">
      <x:c r="A42" s="20" t="str">
        <x:v>TXN-20260616-0041</x:v>
      </x:c>
      <x:c r="B42" s="20" t="str">
        <x:v>LF-OPER-USD-0881</x:v>
      </x:c>
      <x:c r="C42" s="20" t="str">
        <x:v>Operating USD Account</x:v>
      </x:c>
      <x:c r="D42" s="24" t="n">
        <x:v>46189</x:v>
      </x:c>
      <x:c r="E42" s="24" t="n">
        <x:v>46190</x:v>
      </x:c>
      <x:c r="F42" s="20" t="str">
        <x:v>USD</x:v>
      </x:c>
      <x:c r="G42" s="26" t="n">
        <x:v>2192.71</x:v>
      </x:c>
      <x:c r="H42" s="26" t="n">
        <x:v>0</x:v>
      </x:c>
      <x:c r="I42" s="26" t="n">
        <x:v>-2192.71</x:v>
      </x:c>
      <x:c r="J42" s="26" t="n">
        <x:v>347360.45</x:v>
      </x:c>
      <x:c r="K42" s="26" t="n">
        <x:v>345167.74</x:v>
      </x:c>
      <x:c r="L42" s="20" t="str">
        <x:v>Apex Field Services Inc.</x:v>
      </x:c>
      <x:c r="M42" s="20" t="str">
        <x:v>INV SIM-2026-002 SETTLEMENT</x:v>
      </x:c>
      <x:c r="N42" s="20" t="str">
        <x:v>Wire transfer</x:v>
      </x:c>
      <x:c r="O42" s="20" t="str">
        <x:v>Posted</x:v>
      </x:c>
    </x:row>
    <x:row r="43" ht="15" hidden="0" customHeight="1">
      <x:c r="A43" s="20" t="str">
        <x:v>TXN-20260617-0042</x:v>
      </x:c>
      <x:c r="B43" s="20" t="str">
        <x:v>LF-OPER-USD-0881</x:v>
      </x:c>
      <x:c r="C43" s="20" t="str">
        <x:v>Operating USD Account</x:v>
      </x:c>
      <x:c r="D43" s="24" t="n">
        <x:v>46190</x:v>
      </x:c>
      <x:c r="E43" s="24" t="n">
        <x:v>46190</x:v>
      </x:c>
      <x:c r="F43" s="20" t="str">
        <x:v>USD</x:v>
      </x:c>
      <x:c r="G43" s="26" t="n">
        <x:v>2418.99</x:v>
      </x:c>
      <x:c r="H43" s="26" t="n">
        <x:v>0</x:v>
      </x:c>
      <x:c r="I43" s="26" t="n">
        <x:v>-2418.99</x:v>
      </x:c>
      <x:c r="J43" s="26" t="n">
        <x:v>345167.74</x:v>
      </x:c>
      <x:c r="K43" s="26" t="n">
        <x:v>342748.75</x:v>
      </x:c>
      <x:c r="L43" s="20" t="str">
        <x:v>Pioneer Audit Services LLC</x:v>
      </x:c>
      <x:c r="M43" s="20" t="str">
        <x:v>AP-SIM-2026-005-Pioneer Audit Services L</x:v>
      </x:c>
      <x:c r="N43" s="20" t="str">
        <x:v>Wire transfer</x:v>
      </x:c>
      <x:c r="O43" s="20" t="str">
        <x:v>Posted</x:v>
      </x:c>
    </x:row>
    <x:row r="44" ht="15" hidden="0" customHeight="1">
      <x:c r="A44" s="20" t="str">
        <x:v>TXN-20260622-0043</x:v>
      </x:c>
      <x:c r="B44" s="20" t="str">
        <x:v>LF-OPER-SGD-6500</x:v>
      </x:c>
      <x:c r="C44" s="20" t="str">
        <x:v>Operating SGD Account</x:v>
      </x:c>
      <x:c r="D44" s="24" t="n">
        <x:v>46195</x:v>
      </x:c>
      <x:c r="E44" s="24" t="n">
        <x:v>46195</x:v>
      </x:c>
      <x:c r="F44" s="20" t="str">
        <x:v>SGD</x:v>
      </x:c>
      <x:c r="G44" s="26" t="n">
        <x:v>105000</x:v>
      </x:c>
      <x:c r="H44" s="26" t="n">
        <x:v>0</x:v>
      </x:c>
      <x:c r="I44" s="26" t="n">
        <x:v>-105000</x:v>
      </x:c>
      <x:c r="J44" s="26" t="n">
        <x:v>-62500</x:v>
      </x:c>
      <x:c r="K44" s="26" t="n">
        <x:v>-167500</x:v>
      </x:c>
      <x:c r="L44" s="20" t="str">
        <x:v>Paragon Fiduciary Ltd</x:v>
      </x:c>
      <x:c r="M44" s="20" t="str">
        <x:v>INV PFL-2026-1007 SETTLEMENT</x:v>
      </x:c>
      <x:c r="N44" s="20" t="str">
        <x:v>Wire transfer</x:v>
      </x:c>
      <x:c r="O44" s="20" t="str">
        <x:v>Posted</x:v>
      </x:c>
    </x:row>
    <x:row r="45" ht="15" hidden="0" customHeight="1">
      <x:c r="A45" s="20" t="str">
        <x:v>TXN-20260624-0044</x:v>
      </x:c>
      <x:c r="B45" s="20" t="str">
        <x:v>LF-OPER-USD-0881</x:v>
      </x:c>
      <x:c r="C45" s="20" t="str">
        <x:v>Operating USD Account</x:v>
      </x:c>
      <x:c r="D45" s="24" t="n">
        <x:v>46197</x:v>
      </x:c>
      <x:c r="E45" s="24" t="n">
        <x:v>46198</x:v>
      </x:c>
      <x:c r="F45" s="20" t="str">
        <x:v>USD</x:v>
      </x:c>
      <x:c r="G45" s="26" t="n">
        <x:v>10295</x:v>
      </x:c>
      <x:c r="H45" s="26" t="n">
        <x:v>0</x:v>
      </x:c>
      <x:c r="I45" s="26" t="n">
        <x:v>-10295</x:v>
      </x:c>
      <x:c r="J45" s="26" t="n">
        <x:v>342748.75</x:v>
      </x:c>
      <x:c r="K45" s="26" t="n">
        <x:v>332453.75</x:v>
      </x:c>
      <x:c r="L45" s="20" t="str">
        <x:v>Ogier</x:v>
      </x:c>
      <x:c r="M45" s="20" t="str">
        <x:v>PAY 6024081 Ogier</x:v>
      </x:c>
      <x:c r="N45" s="20" t="str">
        <x:v>Wire transfer</x:v>
      </x:c>
      <x:c r="O45" s="20" t="str">
        <x:v>Posted</x:v>
      </x:c>
    </x:row>
    <x:row r="46" ht="15" hidden="0" customHeight="1">
      <x:c r="A46" s="20" t="str">
        <x:v>TXN-20260624-0045</x:v>
      </x:c>
      <x:c r="B46" s="20" t="str">
        <x:v>LF-OPER-USD-0881</x:v>
      </x:c>
      <x:c r="C46" s="20" t="str">
        <x:v>Operating USD Account</x:v>
      </x:c>
      <x:c r="D46" s="24" t="n">
        <x:v>46197</x:v>
      </x:c>
      <x:c r="E46" s="24" t="n">
        <x:v>46198</x:v>
      </x:c>
      <x:c r="F46" s="20" t="str">
        <x:v>USD</x:v>
      </x:c>
      <x:c r="G46" s="26" t="n">
        <x:v>2111.9</x:v>
      </x:c>
      <x:c r="H46" s="26" t="n">
        <x:v>0</x:v>
      </x:c>
      <x:c r="I46" s="26" t="n">
        <x:v>-2111.9</x:v>
      </x:c>
      <x:c r="J46" s="26" t="n">
        <x:v>332453.75</x:v>
      </x:c>
      <x:c r="K46" s="26" t="n">
        <x:v>330341.85</x:v>
      </x:c>
      <x:c r="L46" s="20" t="str">
        <x:v>Northbridge Labs LLC</x:v>
      </x:c>
      <x:c r="M46" s="20" t="str">
        <x:v>AP-SIM-2026-007-Northbridge Labs LLC</x:v>
      </x:c>
      <x:c r="N46" s="20" t="str">
        <x:v>Wire transfer</x:v>
      </x:c>
      <x:c r="O46" s="20" t="str">
        <x:v>Posted</x:v>
      </x:c>
    </x:row>
    <x:row r="47" ht="15" hidden="0" customHeight="1">
      <x:c r="A47" s="20" t="str">
        <x:v>TXN-20260625-0046</x:v>
      </x:c>
      <x:c r="B47" s="20" t="str">
        <x:v>LF-OPER-USD-0881</x:v>
      </x:c>
      <x:c r="C47" s="20" t="str">
        <x:v>Operating USD Account</x:v>
      </x:c>
      <x:c r="D47" s="24" t="n">
        <x:v>46198</x:v>
      </x:c>
      <x:c r="E47" s="24" t="n">
        <x:v>46198</x:v>
      </x:c>
      <x:c r="F47" s="20" t="str">
        <x:v>USD</x:v>
      </x:c>
      <x:c r="G47" s="26" t="n">
        <x:v>2806.89</x:v>
      </x:c>
      <x:c r="H47" s="26" t="n">
        <x:v>0</x:v>
      </x:c>
      <x:c r="I47" s="26" t="n">
        <x:v>-2806.89</x:v>
      </x:c>
      <x:c r="J47" s="26" t="n">
        <x:v>330341.85</x:v>
      </x:c>
      <x:c r="K47" s="26" t="n">
        <x:v>327534.96</x:v>
      </x:c>
      <x:c r="L47" s="20" t="str">
        <x:v>Northbridge Labs LLC</x:v>
      </x:c>
      <x:c r="M47" s="20" t="str">
        <x:v>Northbridge Labs LLC / SIM-2026-001</x:v>
      </x:c>
      <x:c r="N47" s="20" t="str">
        <x:v>Wire transfer</x:v>
      </x:c>
      <x:c r="O47" s="20" t="str">
        <x:v>Posted</x:v>
      </x:c>
    </x:row>
    <x:row r="48" ht="15" hidden="0" customHeight="1">
      <x:c r="A48" s="20" t="str">
        <x:v>TXN-20260626-0047</x:v>
      </x:c>
      <x:c r="B48" s="20" t="str">
        <x:v>LF-OPER-USD-0881</x:v>
      </x:c>
      <x:c r="C48" s="20" t="str">
        <x:v>Operating USD Account</x:v>
      </x:c>
      <x:c r="D48" s="24" t="n">
        <x:v>46199</x:v>
      </x:c>
      <x:c r="E48" s="24" t="n">
        <x:v>46199</x:v>
      </x:c>
      <x:c r="F48" s="20" t="str">
        <x:v>USD</x:v>
      </x:c>
      <x:c r="G48" s="26" t="n">
        <x:v>3539.59</x:v>
      </x:c>
      <x:c r="H48" s="26" t="n">
        <x:v>0</x:v>
      </x:c>
      <x:c r="I48" s="26" t="n">
        <x:v>-3539.59</x:v>
      </x:c>
      <x:c r="J48" s="26" t="n">
        <x:v>327534.96</x:v>
      </x:c>
      <x:c r="K48" s="26" t="n">
        <x:v>323995.37</x:v>
      </x:c>
      <x:c r="L48" s="20" t="str">
        <x:v>Cedarline Systems LLC</x:v>
      </x:c>
      <x:c r="M48" s="20" t="str">
        <x:v>INV SIM-2026-003 SETTLEMENT</x:v>
      </x:c>
      <x:c r="N48" s="20" t="str">
        <x:v>Wire transfer</x:v>
      </x:c>
      <x:c r="O48" s="20" t="str">
        <x:v>Posted</x:v>
      </x:c>
    </x:row>
    <x:row r="49" ht="15" hidden="0" customHeight="1">
      <x:c r="A49" s="20" t="str">
        <x:v>TXN-20260626-0048</x:v>
      </x:c>
      <x:c r="B49" s="20" t="str">
        <x:v>LF-OPER-USD-0881</x:v>
      </x:c>
      <x:c r="C49" s="20" t="str">
        <x:v>Operating USD Account</x:v>
      </x:c>
      <x:c r="D49" s="24" t="n">
        <x:v>46199</x:v>
      </x:c>
      <x:c r="E49" s="24" t="n">
        <x:v>46199</x:v>
      </x:c>
      <x:c r="F49" s="20" t="str">
        <x:v>USD</x:v>
      </x:c>
      <x:c r="G49" s="26" t="n">
        <x:v>3163.54</x:v>
      </x:c>
      <x:c r="H49" s="26" t="n">
        <x:v>0</x:v>
      </x:c>
      <x:c r="I49" s="26" t="n">
        <x:v>-3163.54</x:v>
      </x:c>
      <x:c r="J49" s="26" t="n">
        <x:v>323995.37</x:v>
      </x:c>
      <x:c r="K49" s="26" t="n">
        <x:v>320831.83</x:v>
      </x:c>
      <x:c r="L49" s="20" t="str">
        <x:v>Gridline Analytics Ltd.</x:v>
      </x:c>
      <x:c r="M49" s="20" t="str">
        <x:v>Gridline Analytics Ltd. / SIM-2026-006</x:v>
      </x:c>
      <x:c r="N49" s="20" t="str">
        <x:v>Wire transfer</x:v>
      </x:c>
      <x:c r="O49" s="20" t="str">
        <x:v>Posted</x:v>
      </x:c>
    </x:row>
    <x:row r="50" ht="15" hidden="0" customHeight="1">
      <x:c r="A50" s="20" t="str">
        <x:v>TXN-20260706-0049</x:v>
      </x:c>
      <x:c r="B50" s="20" t="str">
        <x:v>LF-OPER-EUR-4402</x:v>
      </x:c>
      <x:c r="C50" s="20" t="str">
        <x:v>Operating EUR Account</x:v>
      </x:c>
      <x:c r="D50" s="24" t="n">
        <x:v>46209</x:v>
      </x:c>
      <x:c r="E50" s="24" t="n">
        <x:v>46210</x:v>
      </x:c>
      <x:c r="F50" s="20" t="str">
        <x:v>EUR</x:v>
      </x:c>
      <x:c r="G50" s="26" t="n">
        <x:v>142000</x:v>
      </x:c>
      <x:c r="H50" s="26" t="n">
        <x:v>0</x:v>
      </x:c>
      <x:c r="I50" s="26" t="n">
        <x:v>-142000</x:v>
      </x:c>
      <x:c r="J50" s="26" t="n">
        <x:v>159570</x:v>
      </x:c>
      <x:c r="K50" s="26" t="n">
        <x:v>17570</x:v>
      </x:c>
      <x:c r="L50" s="20" t="str">
        <x:v>Oakhurst Consulting Pte. Ltd.</x:v>
      </x:c>
      <x:c r="M50" s="20" t="str">
        <x:v>PAY OCP-2026-1013 Oakhurst Consulting Pte. Ltd</x:v>
      </x:c>
      <x:c r="N50" s="20" t="str">
        <x:v>SEPA/IBAN</x:v>
      </x:c>
      <x:c r="O50" s="20" t="str">
        <x:v>Posted</x:v>
      </x:c>
    </x:row>
    <x:row r="51" ht="15" hidden="0" customHeight="1">
      <x:c r="A51" s="20" t="str">
        <x:v>TXN-20260706-0050</x:v>
      </x:c>
      <x:c r="B51" s="20" t="str">
        <x:v>LF-OPER-USD-0881</x:v>
      </x:c>
      <x:c r="C51" s="20" t="str">
        <x:v>Operating USD Account</x:v>
      </x:c>
      <x:c r="D51" s="24" t="n">
        <x:v>46209</x:v>
      </x:c>
      <x:c r="E51" s="24" t="n">
        <x:v>46210</x:v>
      </x:c>
      <x:c r="F51" s="20" t="str">
        <x:v>USD</x:v>
      </x:c>
      <x:c r="G51" s="26" t="n">
        <x:v>2265</x:v>
      </x:c>
      <x:c r="H51" s="26" t="n">
        <x:v>0</x:v>
      </x:c>
      <x:c r="I51" s="26" t="n">
        <x:v>-2265</x:v>
      </x:c>
      <x:c r="J51" s="26" t="n">
        <x:v>320831.83</x:v>
      </x:c>
      <x:c r="K51" s="26" t="n">
        <x:v>318566.83</x:v>
      </x:c>
      <x:c r="L51" s="20" t="str">
        <x:v>Summit Ridge Operations LLC</x:v>
      </x:c>
      <x:c r="M51" s="20" t="str">
        <x:v>Summit Ridge Operations LLC / SIM-2026-004</x:v>
      </x:c>
      <x:c r="N51" s="20" t="str">
        <x:v>Wire transfer</x:v>
      </x:c>
      <x:c r="O51" s="20" t="str">
        <x:v>Posted</x:v>
      </x:c>
    </x:row>
    <x:row r="52" ht="15" hidden="0" customHeight="1">
      <x:c r="A52" s="20" t="str">
        <x:v>TXN-20260706-0051</x:v>
      </x:c>
      <x:c r="B52" s="20" t="str">
        <x:v>LF-OPER-USD-0881</x:v>
      </x:c>
      <x:c r="C52" s="20" t="str">
        <x:v>Operating USD Account</x:v>
      </x:c>
      <x:c r="D52" s="24" t="n">
        <x:v>46209</x:v>
      </x:c>
      <x:c r="E52" s="24" t="n">
        <x:v>46209</x:v>
      </x:c>
      <x:c r="F52" s="20" t="str">
        <x:v>USD</x:v>
      </x:c>
      <x:c r="G52" s="26" t="n">
        <x:v>2338.18</x:v>
      </x:c>
      <x:c r="H52" s="26" t="n">
        <x:v>0</x:v>
      </x:c>
      <x:c r="I52" s="26" t="n">
        <x:v>-2338.18</x:v>
      </x:c>
      <x:c r="J52" s="26" t="n">
        <x:v>318566.83</x:v>
      </x:c>
      <x:c r="K52" s="26" t="n">
        <x:v>316228.65</x:v>
      </x:c>
      <x:c r="L52" s="20" t="str">
        <x:v>Summit Ridge Operations LLC</x:v>
      </x:c>
      <x:c r="M52" s="20" t="str">
        <x:v>PAY SIM-2026-010 Summit Ridge Operations LLC</x:v>
      </x:c>
      <x:c r="N52" s="20" t="str">
        <x:v>Wire transfer</x:v>
      </x:c>
      <x:c r="O52" s="20" t="str">
        <x:v>Posted</x:v>
      </x:c>
    </x:row>
    <x:row r="53" ht="15" hidden="0" customHeight="1">
      <x:c r="A53" s="20" t="str">
        <x:v>TXN-20260706-0052</x:v>
      </x:c>
      <x:c r="B53" s="20" t="str">
        <x:v>LF-OPER-USD-0881</x:v>
      </x:c>
      <x:c r="C53" s="20" t="str">
        <x:v>Operating USD Account</x:v>
      </x:c>
      <x:c r="D53" s="24" t="n">
        <x:v>46209</x:v>
      </x:c>
      <x:c r="E53" s="24" t="n">
        <x:v>46210</x:v>
      </x:c>
      <x:c r="F53" s="20" t="str">
        <x:v>USD</x:v>
      </x:c>
      <x:c r="G53" s="26" t="n">
        <x:v>2413.6</x:v>
      </x:c>
      <x:c r="H53" s="26" t="n">
        <x:v>0</x:v>
      </x:c>
      <x:c r="I53" s="26" t="n">
        <x:v>-2413.6</x:v>
      </x:c>
      <x:c r="J53" s="26" t="n">
        <x:v>316228.65</x:v>
      </x:c>
      <x:c r="K53" s="26" t="n">
        <x:v>313815.05</x:v>
      </x:c>
      <x:c r="L53" s="20" t="str">
        <x:v>SHEET Invoice</x:v>
      </x:c>
      <x:c r="M53" s="20" t="str">
        <x:v>SHEET Invoice / SIM-2026-021</x:v>
      </x:c>
      <x:c r="N53" s="20" t="str">
        <x:v>Wire transfer</x:v>
      </x:c>
      <x:c r="O53" s="20" t="str">
        <x:v>Posted</x:v>
      </x:c>
    </x:row>
    <x:row r="54" ht="15" hidden="0" customHeight="1">
      <x:c r="A54" s="20" t="str">
        <x:v>TXN-20260710-0053</x:v>
      </x:c>
      <x:c r="B54" s="20" t="str">
        <x:v>LF-OPER-USD-0881</x:v>
      </x:c>
      <x:c r="C54" s="20" t="str">
        <x:v>Operating USD Account</x:v>
      </x:c>
      <x:c r="D54" s="24" t="n">
        <x:v>46213</x:v>
      </x:c>
      <x:c r="E54" s="24" t="n">
        <x:v>46214</x:v>
      </x:c>
      <x:c r="F54" s="20" t="str">
        <x:v>USD</x:v>
      </x:c>
      <x:c r="G54" s="26" t="n">
        <x:v>2203.49</x:v>
      </x:c>
      <x:c r="H54" s="26" t="n">
        <x:v>0</x:v>
      </x:c>
      <x:c r="I54" s="26" t="n">
        <x:v>-2203.49</x:v>
      </x:c>
      <x:c r="J54" s="26" t="n">
        <x:v>313815.05</x:v>
      </x:c>
      <x:c r="K54" s="26" t="n">
        <x:v>311611.56</x:v>
      </x:c>
      <x:c r="L54" s="20" t="str">
        <x:v>Apex Field Services Inc.</x:v>
      </x:c>
      <x:c r="M54" s="20" t="str">
        <x:v>INV SIM-2026-014 SETTLEMENT</x:v>
      </x:c>
      <x:c r="N54" s="20" t="str">
        <x:v>Wire transfer</x:v>
      </x:c>
      <x:c r="O54" s="20" t="str">
        <x:v>Posted</x:v>
      </x:c>
    </x:row>
    <x:row r="55" ht="15" hidden="0" customHeight="1">
      <x:c r="A55" s="20" t="str">
        <x:v>TXN-20260710-0054</x:v>
      </x:c>
      <x:c r="B55" s="20" t="str">
        <x:v>LF-OPER-USD-0881</x:v>
      </x:c>
      <x:c r="C55" s="20" t="str">
        <x:v>Operating USD Account</x:v>
      </x:c>
      <x:c r="D55" s="24" t="n">
        <x:v>46213</x:v>
      </x:c>
      <x:c r="E55" s="24" t="n">
        <x:v>46213</x:v>
      </x:c>
      <x:c r="F55" s="20" t="str">
        <x:v>USD</x:v>
      </x:c>
      <x:c r="G55" s="26" t="n">
        <x:v>1811</x:v>
      </x:c>
      <x:c r="H55" s="26" t="n">
        <x:v>0</x:v>
      </x:c>
      <x:c r="I55" s="26" t="n">
        <x:v>-1811</x:v>
      </x:c>
      <x:c r="J55" s="26" t="n">
        <x:v>311611.56</x:v>
      </x:c>
      <x:c r="K55" s="26" t="n">
        <x:v>309800.56</x:v>
      </x:c>
      <x:c r="L55" s="20" t="str">
        <x:v>Summit Ridge Operations LLC</x:v>
      </x:c>
      <x:c r="M55" s="20" t="str">
        <x:v>PAY SIM-2026-016 Summit Ridge Operations LLC</x:v>
      </x:c>
      <x:c r="N55" s="20" t="str">
        <x:v>Wire transfer</x:v>
      </x:c>
      <x:c r="O55" s="20" t="str">
        <x:v>Posted</x:v>
      </x:c>
    </x:row>
    <x:row r="56" ht="15" hidden="0" customHeight="1">
      <x:c r="A56" s="20" t="str">
        <x:v>TXN-20260713-0055</x:v>
      </x:c>
      <x:c r="B56" s="20" t="str">
        <x:v>LF-OPER-USD-0881</x:v>
      </x:c>
      <x:c r="C56" s="20" t="str">
        <x:v>Operating USD Account</x:v>
      </x:c>
      <x:c r="D56" s="24" t="n">
        <x:v>46216</x:v>
      </x:c>
      <x:c r="E56" s="24" t="n">
        <x:v>46217</x:v>
      </x:c>
      <x:c r="F56" s="20" t="str">
        <x:v>USD</x:v>
      </x:c>
      <x:c r="G56" s="26" t="n">
        <x:v>2170</x:v>
      </x:c>
      <x:c r="H56" s="26" t="n">
        <x:v>0</x:v>
      </x:c>
      <x:c r="I56" s="26" t="n">
        <x:v>-2170</x:v>
      </x:c>
      <x:c r="J56" s="26" t="n">
        <x:v>309800.56</x:v>
      </x:c>
      <x:c r="K56" s="26" t="n">
        <x:v>307630.56</x:v>
      </x:c>
      <x:c r="L56" s="20" t="str">
        <x:v>Apex Field Services Inc.</x:v>
      </x:c>
      <x:c r="M56" s="20" t="str">
        <x:v>PAY SIM-2026-008 Apex Field Services Inc.</x:v>
      </x:c>
      <x:c r="N56" s="20" t="str">
        <x:v>Wire transfer</x:v>
      </x:c>
      <x:c r="O56" s="20" t="str">
        <x:v>Posted</x:v>
      </x:c>
    </x:row>
    <x:row r="57" ht="15" hidden="0" customHeight="1">
      <x:c r="A57" s="20" t="str">
        <x:v>TXN-20260713-0056</x:v>
      </x:c>
      <x:c r="B57" s="20" t="str">
        <x:v>LF-OPER-USD-0881</x:v>
      </x:c>
      <x:c r="C57" s="20" t="str">
        <x:v>Operating USD Account</x:v>
      </x:c>
      <x:c r="D57" s="24" t="n">
        <x:v>46216</x:v>
      </x:c>
      <x:c r="E57" s="24" t="n">
        <x:v>46216</x:v>
      </x:c>
      <x:c r="F57" s="20" t="str">
        <x:v>USD</x:v>
      </x:c>
      <x:c r="G57" s="26" t="n">
        <x:v>2953.43</x:v>
      </x:c>
      <x:c r="H57" s="26" t="n">
        <x:v>0</x:v>
      </x:c>
      <x:c r="I57" s="26" t="n">
        <x:v>-2953.43</x:v>
      </x:c>
      <x:c r="J57" s="26" t="n">
        <x:v>307630.56</x:v>
      </x:c>
      <x:c r="K57" s="26" t="n">
        <x:v>304677.13</x:v>
      </x:c>
      <x:c r="L57" s="20" t="str">
        <x:v>Cedarline Systems LLC</x:v>
      </x:c>
      <x:c r="M57" s="20" t="str">
        <x:v>PAY SIM-2026-015 Cedarline Systems LLC</x:v>
      </x:c>
      <x:c r="N57" s="20" t="str">
        <x:v>Wire transfer</x:v>
      </x:c>
      <x:c r="O57" s="20" t="str">
        <x:v>Posted</x:v>
      </x:c>
    </x:row>
    <x:row r="58" ht="15" hidden="0" customHeight="1">
      <x:c r="A58" s="20" t="str">
        <x:v>TXN-20260713-0057</x:v>
      </x:c>
      <x:c r="B58" s="20" t="str">
        <x:v>LF-OPER-USD-0881</x:v>
      </x:c>
      <x:c r="C58" s="20" t="str">
        <x:v>Operating USD Account</x:v>
      </x:c>
      <x:c r="D58" s="24" t="n">
        <x:v>46216</x:v>
      </x:c>
      <x:c r="E58" s="24" t="n">
        <x:v>46217</x:v>
      </x:c>
      <x:c r="F58" s="20" t="str">
        <x:v>USD</x:v>
      </x:c>
      <x:c r="G58" s="26" t="n">
        <x:v>2602.16</x:v>
      </x:c>
      <x:c r="H58" s="26" t="n">
        <x:v>0</x:v>
      </x:c>
      <x:c r="I58" s="26" t="n">
        <x:v>-2602.16</x:v>
      </x:c>
      <x:c r="J58" s="26" t="n">
        <x:v>304677.13</x:v>
      </x:c>
      <x:c r="K58" s="26" t="n">
        <x:v>302074.97</x:v>
      </x:c>
      <x:c r="L58" s="20" t="str">
        <x:v>SHEET Invoice</x:v>
      </x:c>
      <x:c r="M58" s="20" t="str">
        <x:v>AP-SIM-2026-022-SHEET Invoice</x:v>
      </x:c>
      <x:c r="N58" s="20" t="str">
        <x:v>Wire transfer</x:v>
      </x:c>
      <x:c r="O58" s="20" t="str">
        <x:v>Posted</x:v>
      </x:c>
    </x:row>
    <x:row r="59" ht="15" hidden="0" customHeight="1">
      <x:c r="A59" s="20" t="str">
        <x:v>TXN-20260715-0058</x:v>
      </x:c>
      <x:c r="B59" s="20" t="str">
        <x:v>LF-OPER-USD-0881</x:v>
      </x:c>
      <x:c r="C59" s="20" t="str">
        <x:v>Operating USD Account</x:v>
      </x:c>
      <x:c r="D59" s="24" t="n">
        <x:v>46218</x:v>
      </x:c>
      <x:c r="E59" s="24" t="n">
        <x:v>46219</x:v>
      </x:c>
      <x:c r="F59" s="20" t="str">
        <x:v>USD</x:v>
      </x:c>
      <x:c r="G59" s="26" t="n">
        <x:v>1735</x:v>
      </x:c>
      <x:c r="H59" s="26" t="n">
        <x:v>0</x:v>
      </x:c>
      <x:c r="I59" s="26" t="n">
        <x:v>-1735</x:v>
      </x:c>
      <x:c r="J59" s="26" t="n">
        <x:v>302074.97</x:v>
      </x:c>
      <x:c r="K59" s="26" t="n">
        <x:v>300339.97</x:v>
      </x:c>
      <x:c r="L59" s="20" t="str">
        <x:v>SHEET Invoice</x:v>
      </x:c>
      <x:c r="M59" s="20" t="str">
        <x:v>AP-SIM-2026-023-SHEET Invoice</x:v>
      </x:c>
      <x:c r="N59" s="20" t="str">
        <x:v>Wire transfer</x:v>
      </x:c>
      <x:c r="O59" s="20" t="str">
        <x:v>Posted</x:v>
      </x:c>
    </x:row>
    <x:row r="60" ht="15" hidden="0" customHeight="1">
      <x:c r="A60" s="20" t="str">
        <x:v>TXN-20260716-0059</x:v>
      </x:c>
      <x:c r="B60" s="20" t="str">
        <x:v>LF-OPER-USD-0881</x:v>
      </x:c>
      <x:c r="C60" s="20" t="str">
        <x:v>Operating USD Account</x:v>
      </x:c>
      <x:c r="D60" s="24" t="n">
        <x:v>46219</x:v>
      </x:c>
      <x:c r="E60" s="24" t="n">
        <x:v>46219</x:v>
      </x:c>
      <x:c r="F60" s="20" t="str">
        <x:v>USD</x:v>
      </x:c>
      <x:c r="G60" s="26" t="n">
        <x:v>2926.49</x:v>
      </x:c>
      <x:c r="H60" s="26" t="n">
        <x:v>0</x:v>
      </x:c>
      <x:c r="I60" s="26" t="n">
        <x:v>-2926.49</x:v>
      </x:c>
      <x:c r="J60" s="26" t="n">
        <x:v>300339.97</x:v>
      </x:c>
      <x:c r="K60" s="26" t="n">
        <x:v>297413.48</x:v>
      </x:c>
      <x:c r="L60" s="20" t="str">
        <x:v>Cedarline Systems LLC</x:v>
      </x:c>
      <x:c r="M60" s="20" t="str">
        <x:v>PAY SIM-2026-009 Cedarline Systems LLC</x:v>
      </x:c>
      <x:c r="N60" s="20" t="str">
        <x:v>Wire transfer</x:v>
      </x:c>
      <x:c r="O60" s="20" t="str">
        <x:v>Posted</x:v>
      </x:c>
    </x:row>
    <x:row r="61" ht="15" hidden="0" customHeight="1">
      <x:c r="A61" s="20" t="str">
        <x:v>TXN-20260716-0060</x:v>
      </x:c>
      <x:c r="B61" s="20" t="str">
        <x:v>LF-OPER-USD-0881</x:v>
      </x:c>
      <x:c r="C61" s="20" t="str">
        <x:v>Operating USD Account</x:v>
      </x:c>
      <x:c r="D61" s="24" t="n">
        <x:v>46219</x:v>
      </x:c>
      <x:c r="E61" s="24" t="n">
        <x:v>46219</x:v>
      </x:c>
      <x:c r="F61" s="20" t="str">
        <x:v>USD</x:v>
      </x:c>
      <x:c r="G61" s="26" t="n">
        <x:v>2650.65</x:v>
      </x:c>
      <x:c r="H61" s="26" t="n">
        <x:v>0</x:v>
      </x:c>
      <x:c r="I61" s="26" t="n">
        <x:v>-2650.65</x:v>
      </x:c>
      <x:c r="J61" s="26" t="n">
        <x:v>297413.48</x:v>
      </x:c>
      <x:c r="K61" s="26" t="n">
        <x:v>294762.83</x:v>
      </x:c>
      <x:c r="L61" s="20" t="str">
        <x:v>Pioneer Audit Services LLC</x:v>
      </x:c>
      <x:c r="M61" s="20" t="str">
        <x:v>INV SIM-2026-017 SETTLEMENT</x:v>
      </x:c>
      <x:c r="N61" s="20" t="str">
        <x:v>Wire transfer</x:v>
      </x:c>
      <x:c r="O61" s="20" t="str">
        <x:v>Posted</x:v>
      </x:c>
    </x:row>
    <x:row r="62" ht="15" hidden="0" customHeight="1">
      <x:c r="A62" s="20" t="str">
        <x:v>TXN-20260720-0061</x:v>
      </x:c>
      <x:c r="B62" s="20" t="str">
        <x:v>LF-OPER-USD-0881</x:v>
      </x:c>
      <x:c r="C62" s="20" t="str">
        <x:v>Operating USD Account</x:v>
      </x:c>
      <x:c r="D62" s="24" t="n">
        <x:v>46223</x:v>
      </x:c>
      <x:c r="E62" s="24" t="n">
        <x:v>46223</x:v>
      </x:c>
      <x:c r="F62" s="20" t="str">
        <x:v>USD</x:v>
      </x:c>
      <x:c r="G62" s="26" t="n">
        <x:v>2418.99</x:v>
      </x:c>
      <x:c r="H62" s="26" t="n">
        <x:v>0</x:v>
      </x:c>
      <x:c r="I62" s="26" t="n">
        <x:v>-2418.99</x:v>
      </x:c>
      <x:c r="J62" s="26" t="n">
        <x:v>294762.83</x:v>
      </x:c>
      <x:c r="K62" s="26" t="n">
        <x:v>292343.84</x:v>
      </x:c>
      <x:c r="L62" s="20" t="str">
        <x:v>Pioneer Audit Services LLC</x:v>
      </x:c>
      <x:c r="M62" s="20" t="str">
        <x:v>INV SIM-2026-011 SETTLEMENT</x:v>
      </x:c>
      <x:c r="N62" s="20" t="str">
        <x:v>Wire transfer</x:v>
      </x:c>
      <x:c r="O62" s="20" t="str">
        <x:v>Posted</x:v>
      </x:c>
    </x:row>
    <x:row r="63" ht="15" hidden="0" customHeight="1">
      <x:c r="A63" s="20" t="str">
        <x:v>TXN-20260720-0062</x:v>
      </x:c>
      <x:c r="B63" s="20" t="str">
        <x:v>LF-OPER-USD-0881</x:v>
      </x:c>
      <x:c r="C63" s="20" t="str">
        <x:v>Operating USD Account</x:v>
      </x:c>
      <x:c r="D63" s="24" t="n">
        <x:v>46223</x:v>
      </x:c>
      <x:c r="E63" s="24" t="n">
        <x:v>46223</x:v>
      </x:c>
      <x:c r="F63" s="20" t="str">
        <x:v>USD</x:v>
      </x:c>
      <x:c r="G63" s="26" t="n">
        <x:v>3356.41</x:v>
      </x:c>
      <x:c r="H63" s="26" t="n">
        <x:v>0</x:v>
      </x:c>
      <x:c r="I63" s="26" t="n">
        <x:v>-3356.41</x:v>
      </x:c>
      <x:c r="J63" s="26" t="n">
        <x:v>292343.84</x:v>
      </x:c>
      <x:c r="K63" s="26" t="n">
        <x:v>288987.43</x:v>
      </x:c>
      <x:c r="L63" s="20" t="str">
        <x:v>Gridline Analytics Ltd.</x:v>
      </x:c>
      <x:c r="M63" s="20" t="str">
        <x:v>Gridline Analytics Ltd. / SIM-2026-018</x:v>
      </x:c>
      <x:c r="N63" s="20" t="str">
        <x:v>Wire transfer</x:v>
      </x:c>
      <x:c r="O63" s="20" t="str">
        <x:v>Posted</x:v>
      </x:c>
    </x:row>
    <x:row r="64" ht="15" hidden="0" customHeight="1">
      <x:c r="A64" s="20" t="str">
        <x:v>TXN-20260721-0063</x:v>
      </x:c>
      <x:c r="B64" s="20" t="str">
        <x:v>LF-OPER-USD-0881</x:v>
      </x:c>
      <x:c r="C64" s="20" t="str">
        <x:v>Operating USD Account</x:v>
      </x:c>
      <x:c r="D64" s="24" t="n">
        <x:v>46224</x:v>
      </x:c>
      <x:c r="E64" s="24" t="n">
        <x:v>46224</x:v>
      </x:c>
      <x:c r="F64" s="20" t="str">
        <x:v>USD</x:v>
      </x:c>
      <x:c r="G64" s="26" t="n">
        <x:v>3025</x:v>
      </x:c>
      <x:c r="H64" s="26" t="n">
        <x:v>0</x:v>
      </x:c>
      <x:c r="I64" s="26" t="n">
        <x:v>-3025</x:v>
      </x:c>
      <x:c r="J64" s="26" t="n">
        <x:v>288987.43</x:v>
      </x:c>
      <x:c r="K64" s="26" t="n">
        <x:v>285962.43</x:v>
      </x:c>
      <x:c r="L64" s="20" t="str">
        <x:v>Gridline Analytics Ltd.</x:v>
      </x:c>
      <x:c r="M64" s="20" t="str">
        <x:v>AP-SIM-2026-012-Gridline Analytics Ltd.</x:v>
      </x:c>
      <x:c r="N64" s="20" t="str">
        <x:v>Wire transfer</x:v>
      </x:c>
      <x:c r="O64" s="20" t="str">
        <x:v>Posted</x:v>
      </x:c>
    </x:row>
    <x:row r="65" ht="15" hidden="0" customHeight="1">
      <x:c r="A65" s="20" t="str">
        <x:v>TXN-20260722-0064</x:v>
      </x:c>
      <x:c r="B65" s="20" t="str">
        <x:v>LF-OPER-USD-0881</x:v>
      </x:c>
      <x:c r="C65" s="20" t="str">
        <x:v>Operating USD Account</x:v>
      </x:c>
      <x:c r="D65" s="24" t="n">
        <x:v>46225</x:v>
      </x:c>
      <x:c r="E65" s="24" t="n">
        <x:v>46225</x:v>
      </x:c>
      <x:c r="F65" s="20" t="str">
        <x:v>USD</x:v>
      </x:c>
      <x:c r="G65" s="26" t="n">
        <x:v>2316.63</x:v>
      </x:c>
      <x:c r="H65" s="26" t="n">
        <x:v>0</x:v>
      </x:c>
      <x:c r="I65" s="26" t="n">
        <x:v>-2316.63</x:v>
      </x:c>
      <x:c r="J65" s="26" t="n">
        <x:v>285962.43</x:v>
      </x:c>
      <x:c r="K65" s="26" t="n">
        <x:v>283645.8</x:v>
      </x:c>
      <x:c r="L65" s="20" t="str">
        <x:v>Northbridge Labs LLC</x:v>
      </x:c>
      <x:c r="M65" s="20" t="str">
        <x:v>PAY SIM-2026-019 Northbridge Labs LLC</x:v>
      </x:c>
      <x:c r="N65" s="20" t="str">
        <x:v>Wire transfer</x:v>
      </x:c>
      <x:c r="O65" s="20" t="str">
        <x:v>Posted</x:v>
      </x:c>
    </x:row>
    <x:row r="66" ht="15" hidden="0" customHeight="1">
      <x:c r="A66" s="20" t="str">
        <x:v>TXN-20260723-0065</x:v>
      </x:c>
      <x:c r="B66" s="20" t="str">
        <x:v>LF-OPER-USD-0881</x:v>
      </x:c>
      <x:c r="C66" s="20" t="str">
        <x:v>Operating USD Account</x:v>
      </x:c>
      <x:c r="D66" s="24" t="n">
        <x:v>46226</x:v>
      </x:c>
      <x:c r="E66" s="24" t="n">
        <x:v>46226</x:v>
      </x:c>
      <x:c r="F66" s="20" t="str">
        <x:v>USD</x:v>
      </x:c>
      <x:c r="G66" s="26" t="n">
        <x:v>2198.1</x:v>
      </x:c>
      <x:c r="H66" s="26" t="n">
        <x:v>0</x:v>
      </x:c>
      <x:c r="I66" s="26" t="n">
        <x:v>-2198.1</x:v>
      </x:c>
      <x:c r="J66" s="26" t="n">
        <x:v>283645.8</x:v>
      </x:c>
      <x:c r="K66" s="26" t="n">
        <x:v>281447.7</x:v>
      </x:c>
      <x:c r="L66" s="20" t="str">
        <x:v>Northbridge Labs LLC</x:v>
      </x:c>
      <x:c r="M66" s="20" t="str">
        <x:v>INV SIM-2026-013 SETTLEMENT</x:v>
      </x:c>
      <x:c r="N66" s="20" t="str">
        <x:v>Wire transfer</x:v>
      </x:c>
      <x:c r="O66" s="20" t="str">
        <x:v>Posted</x:v>
      </x:c>
    </x:row>
    <x:row r="67" ht="15" hidden="0" customHeight="1">
      <x:c r="A67" s="20" t="str">
        <x:v>TXN-20260724-0066</x:v>
      </x:c>
      <x:c r="B67" s="20" t="str">
        <x:v>LF-OPER-USD-0881</x:v>
      </x:c>
      <x:c r="C67" s="20" t="str">
        <x:v>Operating USD Account</x:v>
      </x:c>
      <x:c r="D67" s="24" t="n">
        <x:v>46227</x:v>
      </x:c>
      <x:c r="E67" s="24" t="n">
        <x:v>46227</x:v>
      </x:c>
      <x:c r="F67" s="20" t="str">
        <x:v>USD</x:v>
      </x:c>
      <x:c r="G67" s="26" t="n">
        <x:v>2685</x:v>
      </x:c>
      <x:c r="H67" s="26" t="n">
        <x:v>0</x:v>
      </x:c>
      <x:c r="I67" s="26" t="n">
        <x:v>-2685</x:v>
      </x:c>
      <x:c r="J67" s="26" t="n">
        <x:v>281447.7</x:v>
      </x:c>
      <x:c r="K67" s="26" t="n">
        <x:v>278762.7</x:v>
      </x:c>
      <x:c r="L67" s="20" t="str">
        <x:v>Apex Field Services Inc.</x:v>
      </x:c>
      <x:c r="M67" s="20" t="str">
        <x:v>Apex Field Services Inc. / SIM-2026-020</x:v>
      </x:c>
      <x:c r="N67" s="20" t="str">
        <x:v>Wire transfer</x:v>
      </x:c>
      <x:c r="O67" s="20" t="str">
        <x:v>Posted</x:v>
      </x:c>
    </x:row>
    <x:row r="68" ht="15" hidden="0" customHeight="1">
      <x:c r="A68" s="20" t="str">
        <x:v>TXN-20260729-0067</x:v>
      </x:c>
      <x:c r="B68" s="20" t="str">
        <x:v>LF-OPER-USD-0881</x:v>
      </x:c>
      <x:c r="C68" s="20" t="str">
        <x:v>Operating USD Account</x:v>
      </x:c>
      <x:c r="D68" s="24" t="n">
        <x:v>46232</x:v>
      </x:c>
      <x:c r="E68" s="24" t="n">
        <x:v>46232</x:v>
      </x:c>
      <x:c r="F68" s="20" t="str">
        <x:v>USD</x:v>
      </x:c>
      <x:c r="G68" s="26" t="n">
        <x:v>1664.74</x:v>
      </x:c>
      <x:c r="H68" s="26" t="n">
        <x:v>0</x:v>
      </x:c>
      <x:c r="I68" s="26" t="n">
        <x:v>-1664.74</x:v>
      </x:c>
      <x:c r="J68" s="26" t="n">
        <x:v>278762.7</x:v>
      </x:c>
      <x:c r="K68" s="26" t="n">
        <x:v>277097.96</x:v>
      </x:c>
      <x:c r="L68" s="20" t="str">
        <x:v>Summit Pixel Billing LLC</x:v>
      </x:c>
      <x:c r="M68" s="20" t="str">
        <x:v>Summit Pixel Billing LLC / SIM-2026-030</x:v>
      </x:c>
      <x:c r="N68" s="20" t="str">
        <x:v>Wire transfer</x:v>
      </x:c>
      <x:c r="O68" s="20" t="str">
        <x:v>Posted</x:v>
      </x:c>
    </x:row>
    <x:row r="69" ht="15" hidden="0" customHeight="1">
      <x:c r="A69" s="20" t="str">
        <x:v>TXN-20260731-0068</x:v>
      </x:c>
      <x:c r="B69" s="20" t="str">
        <x:v>LF-OPER-USD-0881</x:v>
      </x:c>
      <x:c r="C69" s="20" t="str">
        <x:v>Operating USD Account</x:v>
      </x:c>
      <x:c r="D69" s="24" t="n">
        <x:v>46234</x:v>
      </x:c>
      <x:c r="E69" s="24" t="n">
        <x:v>46235</x:v>
      </x:c>
      <x:c r="F69" s="20" t="str">
        <x:v>USD</x:v>
      </x:c>
      <x:c r="G69" s="26" t="n">
        <x:v>2241.2</x:v>
      </x:c>
      <x:c r="H69" s="26" t="n">
        <x:v>0</x:v>
      </x:c>
      <x:c r="I69" s="26" t="n">
        <x:v>-2241.2</x:v>
      </x:c>
      <x:c r="J69" s="26" t="n">
        <x:v>277097.96</x:v>
      </x:c>
      <x:c r="K69" s="26" t="n">
        <x:v>274856.76</x:v>
      </x:c>
      <x:c r="L69" s="20" t="str">
        <x:v>SHEET Invoice</x:v>
      </x:c>
      <x:c r="M69" s="20" t="str">
        <x:v>PAY SIM-2026-025 SHEET Invoice</x:v>
      </x:c>
      <x:c r="N69" s="20" t="str">
        <x:v>Wire transfer</x:v>
      </x:c>
      <x:c r="O69" s="20" t="str">
        <x:v>Posted</x:v>
      </x:c>
    </x:row>
    <x:row r="70" ht="15" hidden="0" customHeight="1">
      <x:c r="A70" s="20" t="str">
        <x:v>TXN-20260731-0069</x:v>
      </x:c>
      <x:c r="B70" s="20" t="str">
        <x:v>LF-OPER-USD-0881</x:v>
      </x:c>
      <x:c r="C70" s="20" t="str">
        <x:v>Operating USD Account</x:v>
      </x:c>
      <x:c r="D70" s="24" t="n">
        <x:v>46234</x:v>
      </x:c>
      <x:c r="E70" s="24" t="n">
        <x:v>46235</x:v>
      </x:c>
      <x:c r="F70" s="20" t="str">
        <x:v>USD</x:v>
      </x:c>
      <x:c r="G70" s="26" t="n">
        <x:v>1690</x:v>
      </x:c>
      <x:c r="H70" s="26" t="n">
        <x:v>0</x:v>
      </x:c>
      <x:c r="I70" s="26" t="n">
        <x:v>-1690</x:v>
      </x:c>
      <x:c r="J70" s="26" t="n">
        <x:v>274856.76</x:v>
      </x:c>
      <x:c r="K70" s="26" t="n">
        <x:v>273166.76</x:v>
      </x:c>
      <x:c r="L70" s="20" t="str">
        <x:v>Greenfield Office Services LLC</x:v>
      </x:c>
      <x:c r="M70" s="20" t="str">
        <x:v>INV SIM-2026-028 SETTLEMENT</x:v>
      </x:c>
      <x:c r="N70" s="20" t="str">
        <x:v>Wire transfer</x:v>
      </x:c>
      <x:c r="O70" s="20" t="str">
        <x:v>Posted</x:v>
      </x:c>
    </x:row>
    <x:row r="71" ht="15" hidden="0" customHeight="1">
      <x:c r="A71" s="20" t="str">
        <x:v>TXN-20260803-0070</x:v>
      </x:c>
      <x:c r="B71" s="20" t="str">
        <x:v>LF-OPER-USD-0881</x:v>
      </x:c>
      <x:c r="C71" s="20" t="str">
        <x:v>Operating USD Account</x:v>
      </x:c>
      <x:c r="D71" s="24" t="n">
        <x:v>46237</x:v>
      </x:c>
      <x:c r="E71" s="24" t="n">
        <x:v>46238</x:v>
      </x:c>
      <x:c r="F71" s="20" t="str">
        <x:v>USD</x:v>
      </x:c>
      <x:c r="G71" s="26" t="n">
        <x:v>2995.45</x:v>
      </x:c>
      <x:c r="H71" s="26" t="n">
        <x:v>0</x:v>
      </x:c>
      <x:c r="I71" s="26" t="n">
        <x:v>-2995.45</x:v>
      </x:c>
      <x:c r="J71" s="26" t="n">
        <x:v>273166.76</x:v>
      </x:c>
      <x:c r="K71" s="26" t="n">
        <x:v>270171.31</x:v>
      </x:c>
      <x:c r="L71" s="20" t="str">
        <x:v>SHEET Invoice</x:v>
      </x:c>
      <x:c r="M71" s="20" t="str">
        <x:v>PAY SIM-2026-024 SHEET Invoice</x:v>
      </x:c>
      <x:c r="N71" s="20" t="str">
        <x:v>Wire transfer</x:v>
      </x:c>
      <x:c r="O71" s="20" t="str">
        <x:v>Posted</x:v>
      </x:c>
    </x:row>
    <x:row r="72" ht="15" hidden="0" customHeight="1">
      <x:c r="A72" s="20" t="str">
        <x:v>TXN-20260807-0071</x:v>
      </x:c>
      <x:c r="B72" s="20" t="str">
        <x:v>LF-OPER-USD-0881</x:v>
      </x:c>
      <x:c r="C72" s="20" t="str">
        <x:v>Operating USD Account</x:v>
      </x:c>
      <x:c r="D72" s="24" t="n">
        <x:v>46241</x:v>
      </x:c>
      <x:c r="E72" s="24" t="n">
        <x:v>46242</x:v>
      </x:c>
      <x:c r="F72" s="20" t="str">
        <x:v>USD</x:v>
      </x:c>
      <x:c r="G72" s="26" t="n">
        <x:v>1842.53</x:v>
      </x:c>
      <x:c r="H72" s="26" t="n">
        <x:v>0</x:v>
      </x:c>
      <x:c r="I72" s="26" t="n">
        <x:v>-1842.53</x:v>
      </x:c>
      <x:c r="J72" s="26" t="n">
        <x:v>270171.31</x:v>
      </x:c>
      <x:c r="K72" s="26" t="n">
        <x:v>268328.78</x:v>
      </x:c>
      <x:c r="L72" s="20" t="str">
        <x:v>Ironwood Receipt Imaging LLC</x:v>
      </x:c>
      <x:c r="M72" s="20" t="str">
        <x:v>INV SIM-2026-026 SETTLEMENT</x:v>
      </x:c>
      <x:c r="N72" s="20" t="str">
        <x:v>Wire transfer</x:v>
      </x:c>
      <x:c r="O72" s="20" t="str">
        <x:v>Posted</x:v>
      </x:c>
    </x:row>
    <x:row r="73" ht="15" hidden="0" customHeight="1">
      <x:c r="A73" s="20" t="str">
        <x:v>TXN-20260810-0072</x:v>
      </x:c>
      <x:c r="B73" s="20" t="str">
        <x:v>LF-OPER-USD-0881</x:v>
      </x:c>
      <x:c r="C73" s="20" t="str">
        <x:v>Operating USD Account</x:v>
      </x:c>
      <x:c r="D73" s="24" t="n">
        <x:v>46244</x:v>
      </x:c>
      <x:c r="E73" s="24" t="n">
        <x:v>46245</x:v>
      </x:c>
      <x:c r="F73" s="20" t="str">
        <x:v>USD</x:v>
      </x:c>
      <x:c r="G73" s="26" t="n">
        <x:v>2160.39</x:v>
      </x:c>
      <x:c r="H73" s="26" t="n">
        <x:v>0</x:v>
      </x:c>
      <x:c r="I73" s="26" t="n">
        <x:v>-2160.39</x:v>
      </x:c>
      <x:c r="J73" s="26" t="n">
        <x:v>268328.78</x:v>
      </x:c>
      <x:c r="K73" s="26" t="n">
        <x:v>266168.39</x:v>
      </x:c>
      <x:c r="L73" s="20" t="str">
        <x:v>Silverline Parser Fixtures Inc.</x:v>
      </x:c>
      <x:c r="M73" s="20" t="str">
        <x:v>Silverline Parser Fixtures Inc. / SIM-2026-027</x:v>
      </x:c>
      <x:c r="N73" s="20" t="str">
        <x:v>Wire transfer</x:v>
      </x:c>
      <x:c r="O73" s="20" t="str">
        <x:v>Posted</x:v>
      </x:c>
    </x:row>
    <x:row r="74" ht="15" hidden="0" customHeight="1">
      <x:c r="A74" s="22" t="str">
        <x:v>TXN-20260812-0073</x:v>
      </x:c>
      <x:c r="B74" s="22" t="str">
        <x:v>LF-OPER-USD-0881</x:v>
      </x:c>
      <x:c r="C74" s="22" t="str">
        <x:v>Operating USD Account</x:v>
      </x:c>
      <x:c r="D74" s="25" t="n">
        <x:v>46246</x:v>
      </x:c>
      <x:c r="E74" s="25" t="n">
        <x:v>46246</x:v>
      </x:c>
      <x:c r="F74" s="22" t="str">
        <x:v>USD</x:v>
      </x:c>
      <x:c r="G74" s="27" t="n">
        <x:v>2629.1</x:v>
      </x:c>
      <x:c r="H74" s="27" t="n">
        <x:v>0</x:v>
      </x:c>
      <x:c r="I74" s="27" t="n">
        <x:v>-2629.1</x:v>
      </x:c>
      <x:c r="J74" s="27" t="n">
        <x:v>266168.39</x:v>
      </x:c>
      <x:c r="K74" s="27" t="n">
        <x:v>263539.29</x:v>
      </x:c>
      <x:c r="L74" s="22" t="str">
        <x:v>Beacon Image Operations Co.</x:v>
      </x:c>
      <x:c r="M74" s="22" t="str">
        <x:v>PAY SIM-2026-029 Beacon Image Operations Co.</x:v>
      </x:c>
      <x:c r="N74" s="22" t="str">
        <x:v>Wire transfer</x:v>
      </x:c>
      <x:c r="O74" s="22" t="str">
        <x:v>Posted</x:v>
      </x:c>
    </x:row>
  </x:sheetData>
  <x:pageMargins left="0.7" right="0.7" top="0.75" bottom="0.75" header="0.3" footer="0.3"/>
  <x:tableParts count="1">
    <x:tablePart xmlns:r="http://schemas.openxmlformats.org/officeDocument/2006/relationships" r:id="Rf603470c1a494f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8" hidden="0" customWidth="1"/>
    <x:col min="7" max="7" width="44" hidden="0" customWidth="1"/>
    <x:col min="8" max="8" width="18" hidden="0" customWidth="1"/>
    <x:col min="9" max="9" width="20" hidden="0" customWidth="1"/>
    <x:col min="10" max="10" width="70" hidden="0" customWidth="1"/>
    <x:col min="11" max="11" width="14" hidden="0" customWidth="1"/>
    <x:col min="12" max="12" width="22" hidden="0" customWidth="1"/>
  </x:cols>
  <x:sheetData>
    <x:row r="1" ht="15" hidden="0" customHeight="1">
      <x:c r="A1" s="18" t="str">
        <x:v>invoice_id</x:v>
      </x:c>
      <x:c r="B1" s="19" t="str">
        <x:v>invoice_date</x:v>
      </x:c>
      <x:c r="C1" s="18" t="str">
        <x:v>vendor</x:v>
      </x:c>
      <x:c r="D1" s="18" t="str">
        <x:v>invoice_currency</x:v>
      </x:c>
      <x:c r="E1" s="19" t="str">
        <x:v>invoice_total</x:v>
      </x:c>
      <x:c r="F1" s="18" t="str">
        <x:v>payment_channel</x:v>
      </x:c>
      <x:c r="G1" s="18" t="str">
        <x:v>primary_source_file</x:v>
      </x:c>
      <x:c r="H1" s="19" t="str">
        <x:v>primary_source_page</x:v>
      </x:c>
      <x:c r="I1" s="19" t="str">
        <x:v>source_occurrences</x:v>
      </x:c>
      <x:c r="J1" s="18" t="str">
        <x:v>all_source_refs</x:v>
      </x:c>
      <x:c r="K1" s="19" t="str">
        <x:v>transaction_date</x:v>
      </x:c>
      <x:c r="L1" s="18" t="str">
        <x:v>account_id</x:v>
      </x:c>
    </x:row>
    <x:row r="2" ht="15" hidden="0" customHeight="1">
      <x:c r="A2" s="20" t="str">
        <x:v>GP-2025-1001</x:v>
      </x:c>
      <x:c r="B2" s="24" t="n">
        <x:v>45669</x:v>
      </x:c>
      <x:c r="C2" s="20" t="str">
        <x:v>Greyvane Partners</x:v>
      </x:c>
      <x:c r="D2" s="20" t="str">
        <x:v>GBP</x:v>
      </x:c>
      <x:c r="E2" s="26" t="n">
        <x:v>217000</x:v>
      </x:c>
      <x:c r="F2" s="20" t="str">
        <x:v>Wire transfer</x:v>
      </x:c>
      <x:c r="G2" s="20" t="str">
        <x:v>invoices_all_20/invoice_02_GP-2025-1001.pdf</x:v>
      </x:c>
      <x:c r="H2" s="28" t="n">
        <x:v>1</x:v>
      </x:c>
      <x:c r="I2" s="28" t="n">
        <x:v>1</x:v>
      </x:c>
      <x:c r="J2" s="30" t="str">
        <x:v>invoices_all_20/invoice_02_GP-2025-1001.pdf#p1</x:v>
      </x:c>
      <x:c r="K2" s="24" t="n">
        <x:v>45691</x:v>
      </x:c>
      <x:c r="L2" s="20" t="str">
        <x:v>LF-OPER-GBP-7710</x:v>
      </x:c>
    </x:row>
    <x:row r="3" ht="15" hidden="0" customHeight="1">
      <x:c r="A3" s="20" t="str">
        <x:v>TAL-2025-1000</x:v>
      </x:c>
      <x:c r="B3" s="24" t="n">
        <x:v>45702</x:v>
      </x:c>
      <x:c r="C3" s="20" t="str">
        <x:v>Thornfield Advisory Ltd</x:v>
      </x:c>
      <x:c r="D3" s="20" t="str">
        <x:v>AUD</x:v>
      </x:c>
      <x:c r="E3" s="26" t="n">
        <x:v>92000</x:v>
      </x:c>
      <x:c r="F3" s="20" t="str">
        <x:v>Wire transfer</x:v>
      </x:c>
      <x:c r="G3" s="20" t="str">
        <x:v>invoices_all_20/invoice_01_TAL-2025-1000.pdf</x:v>
      </x:c>
      <x:c r="H3" s="28" t="n">
        <x:v>1</x:v>
      </x:c>
      <x:c r="I3" s="28" t="n">
        <x:v>1</x:v>
      </x:c>
      <x:c r="J3" s="30" t="str">
        <x:v>invoices_all_20/invoice_01_TAL-2025-1000.pdf#p1</x:v>
      </x:c>
      <x:c r="K3" s="24" t="n">
        <x:v>45705</x:v>
      </x:c>
      <x:c r="L3" s="20" t="str">
        <x:v>LF-OPER-AUD-9020</x:v>
      </x:c>
    </x:row>
    <x:row r="4" ht="15" hidden="0" customHeight="1">
      <x:c r="A4" s="20" t="str">
        <x:v>AHP-2025-1018</x:v>
      </x:c>
      <x:c r="B4" s="24" t="n">
        <x:v>45743</x:v>
      </x:c>
      <x:c r="C4" s="20" t="str">
        <x:v>Aspen Hill Partners LLP</x:v>
      </x:c>
      <x:c r="D4" s="20" t="str">
        <x:v>SGD</x:v>
      </x:c>
      <x:c r="E4" s="26" t="n">
        <x:v>135000</x:v>
      </x:c>
      <x:c r="F4" s="20" t="str">
        <x:v>Wire transfer</x:v>
      </x:c>
      <x:c r="G4" s="20" t="str">
        <x:v>invoices_all_20/invoice_19_AHP-2025-1018.pdf</x:v>
      </x:c>
      <x:c r="H4" s="28" t="n">
        <x:v>1</x:v>
      </x:c>
      <x:c r="I4" s="28" t="n">
        <x:v>1</x:v>
      </x:c>
      <x:c r="J4" s="30" t="str">
        <x:v>invoices_all_20/invoice_19_AHP-2025-1018.pdf#p1</x:v>
      </x:c>
      <x:c r="K4" s="24" t="n">
        <x:v>45747</x:v>
      </x:c>
      <x:c r="L4" s="20" t="str">
        <x:v>LF-OPER-SGD-6500</x:v>
      </x:c>
    </x:row>
    <x:row r="5" ht="15" hidden="0" customHeight="1">
      <x:c r="A5" s="20" t="str">
        <x:v>AFS-2025-1005</x:v>
      </x:c>
      <x:c r="B5" s="24" t="n">
        <x:v>45745</x:v>
      </x:c>
      <x:c r="C5" s="20" t="str">
        <x:v>Ardent Financial Solutions</x:v>
      </x:c>
      <x:c r="D5" s="20" t="str">
        <x:v>EUR</x:v>
      </x:c>
      <x:c r="E5" s="26" t="n">
        <x:v>86400</x:v>
      </x:c>
      <x:c r="F5" s="20" t="str">
        <x:v>Wire transfer</x:v>
      </x:c>
      <x:c r="G5" s="20" t="str">
        <x:v>invoices_all_20/invoice_06_AFS-2025-1005.pdf</x:v>
      </x:c>
      <x:c r="H5" s="28" t="n">
        <x:v>1</x:v>
      </x:c>
      <x:c r="I5" s="28" t="n">
        <x:v>1</x:v>
      </x:c>
      <x:c r="J5" s="30" t="str">
        <x:v>invoices_all_20/invoice_06_AFS-2025-1005.pdf#p1</x:v>
      </x:c>
      <x:c r="K5" s="24" t="n">
        <x:v>45754</x:v>
      </x:c>
      <x:c r="L5" s="20" t="str">
        <x:v>LF-OPER-EUR-4402</x:v>
      </x:c>
    </x:row>
    <x:row r="6" ht="15" hidden="0" customHeight="1">
      <x:c r="A6" s="20" t="str">
        <x:v>VAP-2025-1006</x:v>
      </x:c>
      <x:c r="B6" s="24" t="n">
        <x:v>45764</x:v>
      </x:c>
      <x:c r="C6" s="20" t="str">
        <x:v>Vantage Advisory Partners</x:v>
      </x:c>
      <x:c r="D6" s="20" t="str">
        <x:v>AUD</x:v>
      </x:c>
      <x:c r="E6" s="26" t="n">
        <x:v>280025</x:v>
      </x:c>
      <x:c r="F6" s="20" t="str">
        <x:v>Wire transfer</x:v>
      </x:c>
      <x:c r="G6" s="20" t="str">
        <x:v>invoices_all_20/invoice_07_VAP-2025-1006.pdf</x:v>
      </x:c>
      <x:c r="H6" s="28" t="n">
        <x:v>1</x:v>
      </x:c>
      <x:c r="I6" s="28" t="n">
        <x:v>1</x:v>
      </x:c>
      <x:c r="J6" s="30" t="str">
        <x:v>invoices_all_20/invoice_07_VAP-2025-1006.pdf#p1</x:v>
      </x:c>
      <x:c r="K6" s="24" t="n">
        <x:v>45777</x:v>
      </x:c>
      <x:c r="L6" s="20" t="str">
        <x:v>LF-OPER-AUD-9020</x:v>
      </x:c>
    </x:row>
    <x:row r="7" ht="15" hidden="0" customHeight="1">
      <x:c r="A7" s="20" t="str">
        <x:v>BAL-2025-1015</x:v>
      </x:c>
      <x:c r="B7" s="24" t="n">
        <x:v>45761</x:v>
      </x:c>
      <x:c r="C7" s="20" t="str">
        <x:v>Bridgestone Advisory Ltd</x:v>
      </x:c>
      <x:c r="D7" s="20" t="str">
        <x:v>SGD</x:v>
      </x:c>
      <x:c r="E7" s="26" t="n">
        <x:v>67850</x:v>
      </x:c>
      <x:c r="F7" s="20" t="str">
        <x:v>Wire transfer</x:v>
      </x:c>
      <x:c r="G7" s="20" t="str">
        <x:v>invoices_all_20/invoice_16_BAL-2025-1015.pdf</x:v>
      </x:c>
      <x:c r="H7" s="28" t="n">
        <x:v>1</x:v>
      </x:c>
      <x:c r="I7" s="28" t="n">
        <x:v>1</x:v>
      </x:c>
      <x:c r="J7" s="30" t="str">
        <x:v>invoices_all_20/invoice_16_BAL-2025-1015.pdf#p1</x:v>
      </x:c>
      <x:c r="K7" s="24" t="n">
        <x:v>45786</x:v>
      </x:c>
      <x:c r="L7" s="20" t="str">
        <x:v>LF-OPER-SGD-6500</x:v>
      </x:c>
    </x:row>
    <x:row r="8" ht="15" hidden="0" customHeight="1">
      <x:c r="A8" s="20" t="str">
        <x:v>KCS-2025-1004</x:v>
      </x:c>
      <x:c r="B8" s="24" t="n">
        <x:v>45792</x:v>
      </x:c>
      <x:c r="C8" s="20" t="str">
        <x:v>Kestrel Capital Services</x:v>
      </x:c>
      <x:c r="D8" s="20" t="str">
        <x:v>USD</x:v>
      </x:c>
      <x:c r="E8" s="26" t="n">
        <x:v>109620</x:v>
      </x:c>
      <x:c r="F8" s="20" t="str">
        <x:v>Wire transfer</x:v>
      </x:c>
      <x:c r="G8" s="20" t="str">
        <x:v>invoices_all_20/invoice_05_KCS-2025-1004.pdf</x:v>
      </x:c>
      <x:c r="H8" s="28" t="n">
        <x:v>1</x:v>
      </x:c>
      <x:c r="I8" s="28" t="n">
        <x:v>1</x:v>
      </x:c>
      <x:c r="J8" s="30" t="str">
        <x:v>invoices_all_20/invoice_05_KCS-2025-1004.pdf#p1</x:v>
      </x:c>
      <x:c r="K8" s="24" t="n">
        <x:v>45800</x:v>
      </x:c>
      <x:c r="L8" s="20" t="str">
        <x:v>LF-OPER-USD-0881</x:v>
      </x:c>
    </x:row>
    <x:row r="9" ht="15" hidden="0" customHeight="1">
      <x:c r="A9" s="20" t="str">
        <x:v>CML-2025-1009</x:v>
      </x:c>
      <x:c r="B9" s="24" t="n">
        <x:v>45819</x:v>
      </x:c>
      <x:c r="C9" s="20" t="str">
        <x:v>Crestline Management Ltd</x:v>
      </x:c>
      <x:c r="D9" s="20" t="str">
        <x:v>SGD</x:v>
      </x:c>
      <x:c r="E9" s="26" t="n">
        <x:v>219650</x:v>
      </x:c>
      <x:c r="F9" s="20" t="str">
        <x:v>Wire transfer</x:v>
      </x:c>
      <x:c r="G9" s="20" t="str">
        <x:v>invoices_all_20/invoice_10_CML-2025-1009.pdf</x:v>
      </x:c>
      <x:c r="H9" s="28" t="n">
        <x:v>1</x:v>
      </x:c>
      <x:c r="I9" s="28" t="n">
        <x:v>1</x:v>
      </x:c>
      <x:c r="J9" s="30" t="str">
        <x:v>invoices_all_20/invoice_10_CML-2025-1009.pdf#p1</x:v>
      </x:c>
      <x:c r="K9" s="24" t="n">
        <x:v>45831</x:v>
      </x:c>
      <x:c r="L9" s="20" t="str">
        <x:v>LF-OPER-SGD-6500</x:v>
      </x:c>
    </x:row>
    <x:row r="10" ht="15" hidden="0" customHeight="1">
      <x:c r="A10" s="20" t="str">
        <x:v>MEA-2025-1017</x:v>
      </x:c>
      <x:c r="B10" s="24" t="n">
        <x:v>45840</x:v>
      </x:c>
      <x:c r="C10" s="20" t="str">
        <x:v>Meridian Edge Advisors</x:v>
      </x:c>
      <x:c r="D10" s="20" t="str">
        <x:v>AUD</x:v>
      </x:c>
      <x:c r="E10" s="26" t="n">
        <x:v>111650</x:v>
      </x:c>
      <x:c r="F10" s="20" t="str">
        <x:v>Wire transfer</x:v>
      </x:c>
      <x:c r="G10" s="20" t="str">
        <x:v>invoices_all_20/invoice_18_MEA-2025-1017.pdf</x:v>
      </x:c>
      <x:c r="H10" s="28" t="n">
        <x:v>1</x:v>
      </x:c>
      <x:c r="I10" s="28" t="n">
        <x:v>1</x:v>
      </x:c>
      <x:c r="J10" s="30" t="str">
        <x:v>invoices_all_20/invoice_18_MEA-2025-1017.pdf#p1</x:v>
      </x:c>
      <x:c r="K10" s="24" t="n">
        <x:v>45848</x:v>
      </x:c>
      <x:c r="L10" s="20" t="str">
        <x:v>LF-OPER-AUD-9020</x:v>
      </x:c>
    </x:row>
    <x:row r="11" ht="15" hidden="0" customHeight="1">
      <x:c r="A11" s="20" t="str">
        <x:v>CWM-2025-1019</x:v>
      </x:c>
      <x:c r="B11" s="24" t="n">
        <x:v>45843</x:v>
      </x:c>
      <x:c r="C11" s="20" t="str">
        <x:v>Crestone Wealth Management</x:v>
      </x:c>
      <x:c r="D11" s="20" t="str">
        <x:v>GBP</x:v>
      </x:c>
      <x:c r="E11" s="26" t="n">
        <x:v>142450</x:v>
      </x:c>
      <x:c r="F11" s="20" t="str">
        <x:v>Wire transfer</x:v>
      </x:c>
      <x:c r="G11" s="20" t="str">
        <x:v>invoices_all_20/invoice_20_CWM-2025-1019.pdf</x:v>
      </x:c>
      <x:c r="H11" s="28" t="n">
        <x:v>1</x:v>
      </x:c>
      <x:c r="I11" s="28" t="n">
        <x:v>1</x:v>
      </x:c>
      <x:c r="J11" s="30" t="str">
        <x:v>invoices_all_20/invoice_20_CWM-2025-1019.pdf#p1</x:v>
      </x:c>
      <x:c r="K11" s="24" t="n">
        <x:v>45853</x:v>
      </x:c>
      <x:c r="L11" s="20" t="str">
        <x:v>LF-OPER-GBP-7710</x:v>
      </x:c>
    </x:row>
    <x:row r="12" ht="15" hidden="0" customHeight="1">
      <x:c r="A12" s="20" t="str">
        <x:f>TEXT(1001,"000000")</x:f>
        <x:v>001001</x:v>
      </x:c>
      <x:c r="B12" s="24" t="n">
        <x:v>45897</x:v>
      </x:c>
      <x:c r="C12" s="20" t="str">
        <x:v>Stellar Vista Partners Limited</x:v>
      </x:c>
      <x:c r="D12" s="20" t="str">
        <x:v>USDT</x:v>
      </x:c>
      <x:c r="E12" s="26" t="n">
        <x:v>24946.34</x:v>
      </x:c>
      <x:c r="F12" s="20" t="str">
        <x:v>Crypto transfer</x:v>
      </x:c>
      <x:c r="G12" s="20" t="str">
        <x:v>Management Fee Invoice July 2025.pdf</x:v>
      </x:c>
      <x:c r="H12" s="28" t="n">
        <x:v>1</x:v>
      </x:c>
      <x:c r="I12" s="28" t="n">
        <x:v>1</x:v>
      </x:c>
      <x:c r="J12" s="30" t="str">
        <x:v>Management Fee Invoice July 2025.pdf#p1</x:v>
      </x:c>
      <x:c r="K12" s="24" t="n">
        <x:v>45901</x:v>
      </x:c>
      <x:c r="L12" s="20" t="str">
        <x:v>LF-WALLET-USDT-6627</x:v>
      </x:c>
    </x:row>
    <x:row r="13" ht="15" hidden="0" customHeight="1">
      <x:c r="A13" s="20" t="str">
        <x:v>SPP-2025-1011</x:v>
      </x:c>
      <x:c r="B13" s="24" t="n">
        <x:v>45999</x:v>
      </x:c>
      <x:c r="C13" s="20" t="str">
        <x:v>Sable Point Partners</x:v>
      </x:c>
      <x:c r="D13" s="20" t="str">
        <x:v>USD</x:v>
      </x:c>
      <x:c r="E13" s="26" t="n">
        <x:v>148500</x:v>
      </x:c>
      <x:c r="F13" s="20" t="str">
        <x:v>Wire transfer</x:v>
      </x:c>
      <x:c r="G13" s="20" t="str">
        <x:v>invoices_all_20/invoice_12_SPP-2025-1011.pdf</x:v>
      </x:c>
      <x:c r="H13" s="28" t="n">
        <x:v>1</x:v>
      </x:c>
      <x:c r="I13" s="28" t="n">
        <x:v>1</x:v>
      </x:c>
      <x:c r="J13" s="30" t="str">
        <x:v>invoices_all_20/invoice_12_SPP-2025-1011.pdf#p1</x:v>
      </x:c>
      <x:c r="K13" s="24" t="n">
        <x:v>46010</x:v>
      </x:c>
      <x:c r="L13" s="20" t="str">
        <x:v>LF-OPER-USD-0881</x:v>
      </x:c>
    </x:row>
    <x:row r="14" ht="15" hidden="0" customHeight="1">
      <x:c r="A14" s="20" t="str">
        <x:v>NSC-2025-1016</x:v>
      </x:c>
      <x:c r="B14" s="24" t="n">
        <x:v>46016</x:v>
      </x:c>
      <x:c r="C14" s="20" t="str">
        <x:v>Northgate Strategy Corp.</x:v>
      </x:c>
      <x:c r="D14" s="20" t="str">
        <x:v>GBP</x:v>
      </x:c>
      <x:c r="E14" s="26" t="n">
        <x:v>153450</x:v>
      </x:c>
      <x:c r="F14" s="20" t="str">
        <x:v>Wire transfer</x:v>
      </x:c>
      <x:c r="G14" s="20" t="str">
        <x:v>invoices_all_20/invoice_17_NSC-2025-1016.pdf</x:v>
      </x:c>
      <x:c r="H14" s="28" t="n">
        <x:v>1</x:v>
      </x:c>
      <x:c r="I14" s="28" t="n">
        <x:v>1</x:v>
      </x:c>
      <x:c r="J14" s="30" t="str">
        <x:v>invoices_all_20/invoice_17_NSC-2025-1016.pdf#p1</x:v>
      </x:c>
      <x:c r="K14" s="24" t="n">
        <x:v>46023</x:v>
      </x:c>
      <x:c r="L14" s="20" t="str">
        <x:v>LF-OPER-GBP-7710</x:v>
      </x:c>
    </x:row>
    <x:row r="15" ht="15" hidden="0" customHeight="1">
      <x:c r="A15" s="20" t="str">
        <x:v>HCG-2025-1002</x:v>
      </x:c>
      <x:c r="B15" s="24" t="n">
        <x:v>46019</x:v>
      </x:c>
      <x:c r="C15" s="20" t="str">
        <x:v>Halcyon Consulting Group</x:v>
      </x:c>
      <x:c r="D15" s="20" t="str">
        <x:v>EUR</x:v>
      </x:c>
      <x:c r="E15" s="26" t="n">
        <x:v>63800</x:v>
      </x:c>
      <x:c r="F15" s="20" t="str">
        <x:v>Wire transfer</x:v>
      </x:c>
      <x:c r="G15" s="20" t="str">
        <x:v>invoices_all_20/invoice_03_HCG-2025-1002.pdf</x:v>
      </x:c>
      <x:c r="H15" s="28" t="n">
        <x:v>1</x:v>
      </x:c>
      <x:c r="I15" s="28" t="n">
        <x:v>1</x:v>
      </x:c>
      <x:c r="J15" s="30" t="str">
        <x:v>invoices_all_20/invoice_03_HCG-2025-1002.pdf#p1</x:v>
      </x:c>
      <x:c r="K15" s="24" t="n">
        <x:v>46042</x:v>
      </x:c>
      <x:c r="L15" s="20" t="str">
        <x:v>LF-OPER-EUR-4402</x:v>
      </x:c>
    </x:row>
    <x:row r="16" ht="15" hidden="0" customHeight="1">
      <x:c r="A16" s="20" t="str">
        <x:v>IAG-2025-1010</x:v>
      </x:c>
      <x:c r="B16" s="24" t="n">
        <x:v>46018</x:v>
      </x:c>
      <x:c r="C16" s="20" t="str">
        <x:v>Irongate Advisory GmbH</x:v>
      </x:c>
      <x:c r="D16" s="20" t="str">
        <x:v>AUD</x:v>
      </x:c>
      <x:c r="E16" s="26" t="n">
        <x:v>62500</x:v>
      </x:c>
      <x:c r="F16" s="20" t="str">
        <x:v>Wire transfer</x:v>
      </x:c>
      <x:c r="G16" s="20" t="str">
        <x:v>invoices_all_20/invoice_11_IAG-2025-1010.pdf</x:v>
      </x:c>
      <x:c r="H16" s="28" t="n">
        <x:v>1</x:v>
      </x:c>
      <x:c r="I16" s="28" t="n">
        <x:v>1</x:v>
      </x:c>
      <x:c r="J16" s="30" t="str">
        <x:v>invoices_all_20/invoice_11_IAG-2025-1010.pdf#p1</x:v>
      </x:c>
      <x:c r="K16" s="24" t="n">
        <x:v>46043</x:v>
      </x:c>
      <x:c r="L16" s="20" t="str">
        <x:v>LF-OPER-AUD-9020</x:v>
      </x:c>
    </x:row>
    <x:row r="17" ht="15" hidden="0" customHeight="1">
      <x:c r="A17" s="20" t="str">
        <x:v>EML-2026-1008</x:v>
      </x:c>
      <x:c r="B17" s="24" t="n">
        <x:v>46081</x:v>
      </x:c>
      <x:c r="C17" s="20" t="str">
        <x:v>Ellsworth &amp; Moore LLP</x:v>
      </x:c>
      <x:c r="D17" s="20" t="str">
        <x:v>EUR</x:v>
      </x:c>
      <x:c r="E17" s="26" t="n">
        <x:v>107500</x:v>
      </x:c>
      <x:c r="F17" s="20" t="str">
        <x:v>Wire transfer</x:v>
      </x:c>
      <x:c r="G17" s="20" t="str">
        <x:v>invoices_all_20/invoice_09_EML-2026-1008.pdf</x:v>
      </x:c>
      <x:c r="H17" s="28" t="n">
        <x:v>1</x:v>
      </x:c>
      <x:c r="I17" s="28" t="n">
        <x:v>1</x:v>
      </x:c>
      <x:c r="J17" s="30" t="str">
        <x:v>invoices_all_20/invoice_09_EML-2026-1008.pdf#p1</x:v>
      </x:c>
      <x:c r="K17" s="24" t="n">
        <x:v>46105</x:v>
      </x:c>
      <x:c r="L17" s="20" t="str">
        <x:v>LF-OPER-EUR-4402</x:v>
      </x:c>
    </x:row>
    <x:row r="18" ht="15" hidden="0" customHeight="1">
      <x:c r="A18" s="20" t="str">
        <x:v>RSI-2026-1003</x:v>
      </x:c>
      <x:c r="B18" s="24" t="n">
        <x:v>46093</x:v>
      </x:c>
      <x:c r="C18" s="20" t="str">
        <x:v>Redwood Strategy Inc.</x:v>
      </x:c>
      <x:c r="D18" s="20" t="str">
        <x:v>GBP</x:v>
      </x:c>
      <x:c r="E18" s="26" t="n">
        <x:v>89700</x:v>
      </x:c>
      <x:c r="F18" s="20" t="str">
        <x:v>SEPA/IBAN</x:v>
      </x:c>
      <x:c r="G18" s="20" t="str">
        <x:v>invoices_all_20/invoice_04_RSI-2026-1003.pdf</x:v>
      </x:c>
      <x:c r="H18" s="28" t="n">
        <x:v>1</x:v>
      </x:c>
      <x:c r="I18" s="28" t="n">
        <x:v>1</x:v>
      </x:c>
      <x:c r="J18" s="30" t="str">
        <x:v>invoices_all_20/invoice_04_RSI-2026-1003.pdf#p1</x:v>
      </x:c>
      <x:c r="K18" s="24" t="n">
        <x:v>46120</x:v>
      </x:c>
      <x:c r="L18" s="20" t="str">
        <x:v>LF-OPER-GBP-7710</x:v>
      </x:c>
    </x:row>
    <x:row r="19" ht="15" hidden="0" customHeight="1">
      <x:c r="A19" s="20" t="str">
        <x:v>555008</x:v>
      </x:c>
      <x:c r="B19" s="24" t="n">
        <x:v>46134</x:v>
      </x:c>
      <x:c r="C19" s="20" t="str">
        <x:v>SignalPlus Limited</x:v>
      </x:c>
      <x:c r="D19" s="20" t="str">
        <x:v>USDT</x:v>
      </x:c>
      <x:c r="E19" s="26" t="n">
        <x:v>21000</x:v>
      </x:c>
      <x:c r="F19" s="20" t="str">
        <x:v>Crypto transfer</x:v>
      </x:c>
      <x:c r="G19" s="20" t="str">
        <x:v>Stellar Vista March Service Fee.pdf</x:v>
      </x:c>
      <x:c r="H19" s="28" t="n">
        <x:v>1</x:v>
      </x:c>
      <x:c r="I19" s="28" t="n">
        <x:v>1</x:v>
      </x:c>
      <x:c r="J19" s="30" t="str">
        <x:v>Stellar Vista March Service Fee.pdf#p1</x:v>
      </x:c>
      <x:c r="K19" s="24" t="n">
        <x:v>46139</x:v>
      </x:c>
      <x:c r="L19" s="20" t="str">
        <x:v>LF-WALLET-USDT-6627</x:v>
      </x:c>
    </x:row>
    <x:row r="20" ht="15" hidden="0" customHeight="1">
      <x:c r="A20" s="20" t="str">
        <x:v>NP-2605-002</x:v>
      </x:c>
      <x:c r="B20" s="24" t="n">
        <x:v>46144</x:v>
      </x:c>
      <x:c r="C20" s="20" t="str">
        <x:v>North Pier Strategy</x:v>
      </x:c>
      <x:c r="D20" s="20" t="str">
        <x:v>USD</x:v>
      </x:c>
      <x:c r="E20" s="26" t="n">
        <x:v>3200</x:v>
      </x:c>
      <x:c r="F20" s="20" t="str">
        <x:v>Wire transfer</x:v>
      </x:c>
      <x:c r="G20" s="20" t="str">
        <x:v>varied_training_invoices_2026_05/vendor_invoice_varied_02_no_addresses_minimal.pdf</x:v>
      </x:c>
      <x:c r="H20" s="28" t="n">
        <x:v>1</x:v>
      </x:c>
      <x:c r="I20" s="28" t="n">
        <x:v>1</x:v>
      </x:c>
      <x:c r="J20" s="30" t="str">
        <x:v>varied_training_invoices_2026_05/vendor_invoice_varied_02_no_addresses_minimal.pdf#p1</x:v>
      </x:c>
      <x:c r="K20" s="24" t="n">
        <x:v>46147</x:v>
      </x:c>
      <x:c r="L20" s="20" t="str">
        <x:v>LF-OPER-USD-0881</x:v>
      </x:c>
    </x:row>
    <x:row r="21" ht="15" hidden="0" customHeight="1">
      <x:c r="A21" s="20" t="str">
        <x:v>CCL-2026-1012</x:v>
      </x:c>
      <x:c r="B21" s="24" t="n">
        <x:v>46140</x:v>
      </x:c>
      <x:c r="C21" s="20" t="str">
        <x:v>Caraway Capital Ltd</x:v>
      </x:c>
      <x:c r="D21" s="20" t="str">
        <x:v>USD</x:v>
      </x:c>
      <x:c r="E21" s="26" t="n">
        <x:v>103400</x:v>
      </x:c>
      <x:c r="F21" s="20" t="str">
        <x:v>Wire transfer</x:v>
      </x:c>
      <x:c r="G21" s="20" t="str">
        <x:v>invoices_all_20/invoice_13_CCL-2026-1012.pdf</x:v>
      </x:c>
      <x:c r="H21" s="28" t="n">
        <x:v>1</x:v>
      </x:c>
      <x:c r="I21" s="28" t="n">
        <x:v>1</x:v>
      </x:c>
      <x:c r="J21" s="30" t="str">
        <x:v>invoices_all_20/invoice_13_CCL-2026-1012.pdf#p1</x:v>
      </x:c>
      <x:c r="K21" s="24" t="n">
        <x:v>46149</x:v>
      </x:c>
      <x:c r="L21" s="20" t="str">
        <x:v>LF-OPER-USD-0881</x:v>
      </x:c>
    </x:row>
    <x:row r="22" ht="15" hidden="0" customHeight="1">
      <x:c r="A22" s="20" t="str">
        <x:v>COA-0526-04</x:v>
      </x:c>
      <x:c r="B22" s="24" t="n">
        <x:v>46146</x:v>
      </x:c>
      <x:c r="C22" s="20" t="str">
        <x:v>Chain Ops Analytics Pte Ltd</x:v>
      </x:c>
      <x:c r="D22" s="20" t="str">
        <x:v>USDC</x:v>
      </x:c>
      <x:c r="E22" s="26" t="n">
        <x:v>2850</x:v>
      </x:c>
      <x:c r="F22" s="20" t="str">
        <x:v>Crypto transfer</x:v>
      </x:c>
      <x:c r="G22" s="20" t="str">
        <x:v>varied_training_invoices_2026_05/vendor_invoice_varied_04_crypto_wallet_bottom.pdf</x:v>
      </x:c>
      <x:c r="H22" s="28" t="n">
        <x:v>1</x:v>
      </x:c>
      <x:c r="I22" s="28" t="n">
        <x:v>1</x:v>
      </x:c>
      <x:c r="J22" s="30" t="str">
        <x:v>varied_training_invoices_2026_05/vendor_invoice_varied_04_crypto_wallet_bottom.pdf#p1</x:v>
      </x:c>
      <x:c r="K22" s="24" t="n">
        <x:v>46149</x:v>
      </x:c>
      <x:c r="L22" s="20" t="str">
        <x:v>LF-WALLET-USDC-6627</x:v>
      </x:c>
    </x:row>
    <x:row r="23" ht="15" hidden="0" customHeight="1">
      <x:c r="A23" s="20" t="str">
        <x:v>PFD-2026-55</x:v>
      </x:c>
      <x:c r="B23" s="24" t="n">
        <x:v>46147</x:v>
      </x:c>
      <x:c r="C23" s="20" t="str">
        <x:v>Pixel Forge Design Co</x:v>
      </x:c>
      <x:c r="D23" s="20" t="str">
        <x:v>USD</x:v>
      </x:c>
      <x:c r="E23" s="26" t="n">
        <x:v>3680.5</x:v>
      </x:c>
      <x:c r="F23" s="20" t="str">
        <x:v>Wire transfer</x:v>
      </x:c>
      <x:c r="G23" s="20" t="str">
        <x:v>varied_training_invoices_2026_05/vendor_invoice_varied_05_sales_tax_compact.pdf</x:v>
      </x:c>
      <x:c r="H23" s="28" t="n">
        <x:v>1</x:v>
      </x:c>
      <x:c r="I23" s="28" t="n">
        <x:v>1</x:v>
      </x:c>
      <x:c r="J23" s="30" t="str">
        <x:v>varied_training_invoices_2026_05/vendor_invoice_varied_05_sales_tax_compact.pdf#p1</x:v>
      </x:c>
      <x:c r="K23" s="24" t="n">
        <x:v>46150</x:v>
      </x:c>
      <x:c r="L23" s="20" t="str">
        <x:v>LF-OPER-USD-0881</x:v>
      </x:c>
    </x:row>
    <x:row r="24" ht="15" hidden="0" customHeight="1">
      <x:c r="A24" s="20" t="str">
        <x:v>CD-INV-7731</x:v>
      </x:c>
      <x:c r="B24" s="24" t="n">
        <x:v>46149</x:v>
      </x:c>
      <x:c r="C24" s="20" t="str">
        <x:v>CloudDock SaaS Inc</x:v>
      </x:c>
      <x:c r="D24" s="20" t="str">
        <x:v>USD</x:v>
      </x:c>
      <x:c r="E24" s="26" t="n">
        <x:v>854.93</x:v>
      </x:c>
      <x:c r="F24" s="20" t="str">
        <x:v>Card settlement</x:v>
      </x:c>
      <x:c r="G24" s="20" t="str">
        <x:v>varied_training_invoices_2026_05/vendor_invoice_varied_07_credit_card_bottom.pdf</x:v>
      </x:c>
      <x:c r="H24" s="28" t="n">
        <x:v>1</x:v>
      </x:c>
      <x:c r="I24" s="28" t="n">
        <x:v>1</x:v>
      </x:c>
      <x:c r="J24" s="30" t="str">
        <x:v>varied_training_invoices_2026_05/vendor_invoice_varied_07_credit_card_bottom.pdf#p1</x:v>
      </x:c>
      <x:c r="K24" s="24" t="n">
        <x:v>46153</x:v>
      </x:c>
      <x:c r="L24" s="20" t="str">
        <x:v>LF-OPER-USD-0881</x:v>
      </x:c>
    </x:row>
    <x:row r="25" ht="15" hidden="0" customHeight="1">
      <x:c r="A25" s="20" t="str">
        <x:v>DELTA-2026-05-R</x:v>
      </x:c>
      <x:c r="B25" s="24" t="n">
        <x:v>46150</x:v>
      </x:c>
      <x:c r="C25" s="20" t="str">
        <x:v>Delta CFO Advisory</x:v>
      </x:c>
      <x:c r="D25" s="20" t="str">
        <x:v>USD</x:v>
      </x:c>
      <x:c r="E25" s="26" t="n">
        <x:v>4500</x:v>
      </x:c>
      <x:c r="F25" s="20" t="str">
        <x:v>FPS</x:v>
      </x:c>
      <x:c r="G25" s="20" t="str">
        <x:v>varied_training_invoices_2026_05/vendor_invoice_varied_08_retainer_no_address.pdf</x:v>
      </x:c>
      <x:c r="H25" s="28" t="n">
        <x:v>1</x:v>
      </x:c>
      <x:c r="I25" s="28" t="n">
        <x:v>1</x:v>
      </x:c>
      <x:c r="J25" s="30" t="str">
        <x:v>varied_training_invoices_2026_05/vendor_invoice_varied_08_retainer_no_address.pdf#p1</x:v>
      </x:c>
      <x:c r="K25" s="24" t="n">
        <x:v>46153</x:v>
      </x:c>
      <x:c r="L25" s="20" t="str">
        <x:v>LF-OPER-USD-0881</x:v>
      </x:c>
    </x:row>
    <x:row r="26" ht="15" hidden="0" customHeight="1">
      <x:c r="A26" s="20" t="str">
        <x:v>BPL-2026-091</x:v>
      </x:c>
      <x:c r="B26" s="24" t="n">
        <x:v>46148</x:v>
      </x:c>
      <x:c r="C26" s="20" t="str">
        <x:v>Blue Peak Legal LLP</x:v>
      </x:c>
      <x:c r="D26" s="20" t="str">
        <x:v>USD</x:v>
      </x:c>
      <x:c r="E26" s="26" t="n">
        <x:v>2750</x:v>
      </x:c>
      <x:c r="F26" s="20" t="str">
        <x:v>Wire transfer</x:v>
      </x:c>
      <x:c r="G26" s="20" t="str">
        <x:v>varied_training_invoices_2026_05/vendor_invoice_varied_06_missing_bill_to_address.pdf</x:v>
      </x:c>
      <x:c r="H26" s="28" t="n">
        <x:v>1</x:v>
      </x:c>
      <x:c r="I26" s="28" t="n">
        <x:v>1</x:v>
      </x:c>
      <x:c r="J26" s="30" t="str">
        <x:v>varied_training_invoices_2026_05/vendor_invoice_varied_06_missing_bill_to_address.pdf#p1</x:v>
      </x:c>
      <x:c r="K26" s="24" t="n">
        <x:v>46154</x:v>
      </x:c>
      <x:c r="L26" s="20" t="str">
        <x:v>LF-OPER-USD-0881</x:v>
      </x:c>
    </x:row>
    <x:row r="27" ht="15" hidden="0" customHeight="1">
      <x:c r="A27" s="20" t="str">
        <x:v>FGI-2026-1014</x:v>
      </x:c>
      <x:c r="B27" s="24" t="n">
        <x:v>46142</x:v>
      </x:c>
      <x:c r="C27" s="20" t="str">
        <x:v>Fairwater Group Inc.</x:v>
      </x:c>
      <x:c r="D27" s="20" t="str">
        <x:v>AUD</x:v>
      </x:c>
      <x:c r="E27" s="26" t="n">
        <x:v>120450</x:v>
      </x:c>
      <x:c r="F27" s="20" t="str">
        <x:v>Wire transfer</x:v>
      </x:c>
      <x:c r="G27" s="20" t="str">
        <x:v>invoices_all_20/invoice_15_FGI-2026-1014.pdf</x:v>
      </x:c>
      <x:c r="H27" s="28" t="n">
        <x:v>1</x:v>
      </x:c>
      <x:c r="I27" s="28" t="n">
        <x:v>1</x:v>
      </x:c>
      <x:c r="J27" s="30" t="str">
        <x:v>invoices_all_20/invoice_15_FGI-2026-1014.pdf#p1</x:v>
      </x:c>
      <x:c r="K27" s="24" t="n">
        <x:v>46155</x:v>
      </x:c>
      <x:c r="L27" s="20" t="str">
        <x:v>LF-OPER-AUD-9020</x:v>
      </x:c>
    </x:row>
    <x:row r="28" ht="15" hidden="0" customHeight="1">
      <x:c r="A28" s="20" t="str">
        <x:v>EOS-90031</x:v>
      </x:c>
      <x:c r="B28" s="24" t="n">
        <x:v>46151</x:v>
      </x:c>
      <x:c r="C28" s="20" t="str">
        <x:v>Emerald Office Supplies</x:v>
      </x:c>
      <x:c r="D28" s="20" t="str">
        <x:v>USD</x:v>
      </x:c>
      <x:c r="E28" s="26" t="n">
        <x:v>448.12</x:v>
      </x:c>
      <x:c r="F28" s="20" t="str">
        <x:v>Wire transfer</x:v>
      </x:c>
      <x:c r="G28" s="20" t="str">
        <x:v>varied_training_invoices_2026_05/vendor_invoice_varied_09_expense_lines_tax.pdf</x:v>
      </x:c>
      <x:c r="H28" s="28" t="n">
        <x:v>1</x:v>
      </x:c>
      <x:c r="I28" s="28" t="n">
        <x:v>1</x:v>
      </x:c>
      <x:c r="J28" s="30" t="str">
        <x:v>varied_training_invoices_2026_05/vendor_invoice_varied_09_expense_lines_tax.pdf#p1</x:v>
      </x:c>
      <x:c r="K28" s="24" t="n">
        <x:v>46156</x:v>
      </x:c>
      <x:c r="L28" s="20" t="str">
        <x:v>LF-OPER-USD-0881</x:v>
      </x:c>
    </x:row>
    <x:row r="29" ht="15" hidden="0" customHeight="1">
      <x:c r="A29" s="20" t="str">
        <x:v>ATL-2026-0501</x:v>
      </x:c>
      <x:c r="B29" s="24" t="n">
        <x:v>46143</x:v>
      </x:c>
      <x:c r="C29" s="20" t="str">
        <x:v>Atlas Compliance Partners Ltd</x:v>
      </x:c>
      <x:c r="D29" s="20" t="str">
        <x:v>USD</x:v>
      </x:c>
      <x:c r="E29" s="26" t="n">
        <x:v>3570</x:v>
      </x:c>
      <x:c r="F29" s="20" t="str">
        <x:v>Wire transfer</x:v>
      </x:c>
      <x:c r="G29" s="20" t="str">
        <x:v>varied_training_invoices_2026_05/vendor_invoice_varied_01_atlas_tax_table.pdf</x:v>
      </x:c>
      <x:c r="H29" s="28" t="n">
        <x:v>1</x:v>
      </x:c>
      <x:c r="I29" s="28" t="n">
        <x:v>1</x:v>
      </x:c>
      <x:c r="J29" s="30" t="str">
        <x:v>varied_training_invoices_2026_05/vendor_invoice_varied_01_atlas_tax_table.pdf#p1</x:v>
      </x:c>
      <x:c r="K29" s="24" t="n">
        <x:v>46157</x:v>
      </x:c>
      <x:c r="L29" s="20" t="str">
        <x:v>LF-OPER-USD-0881</x:v>
      </x:c>
    </x:row>
    <x:row r="30" ht="15" hidden="0" customHeight="1">
      <x:c r="A30" s="20" t="str">
        <x:v>MC-15-0526</x:v>
      </x:c>
      <x:c r="B30" s="24" t="n">
        <x:v>46157</x:v>
      </x:c>
      <x:c r="C30" s="20" t="str">
        <x:v>Maple Courier</x:v>
      </x:c>
      <x:c r="D30" s="20" t="str">
        <x:v>USD</x:v>
      </x:c>
      <x:c r="E30" s="26" t="n">
        <x:v>355</x:v>
      </x:c>
      <x:c r="F30" s="20" t="str">
        <x:v>FPS</x:v>
      </x:c>
      <x:c r="G30" s="20" t="str">
        <x:v>varied_training_invoices_2026_05/vendor_invoice_varied_15_handwritten_style_sparse.pdf</x:v>
      </x:c>
      <x:c r="H30" s="28" t="n">
        <x:v>1</x:v>
      </x:c>
      <x:c r="I30" s="28" t="n">
        <x:v>1</x:v>
      </x:c>
      <x:c r="J30" s="30" t="str">
        <x:v>varied_training_invoices_2026_05/vendor_invoice_varied_15_handwritten_style_sparse.pdf#p1</x:v>
      </x:c>
      <x:c r="K30" s="24" t="n">
        <x:v>46157</x:v>
      </x:c>
      <x:c r="L30" s="20" t="str">
        <x:v>LF-OPER-USD-0881</x:v>
      </x:c>
    </x:row>
    <x:row r="31" ht="26.399999618530273" hidden="0" customHeight="1">
      <x:c r="A31" s="20" t="str">
        <x:v>KDR-2026-778</x:v>
      </x:c>
      <x:c r="B31" s="24" t="n">
        <x:v>46155</x:v>
      </x:c>
      <x:c r="C31" s="20" t="str">
        <x:v>Keystone Data Rooms</x:v>
      </x:c>
      <x:c r="D31" s="20" t="str">
        <x:v>USD</x:v>
      </x:c>
      <x:c r="E31" s="26" t="n">
        <x:v>1100</x:v>
      </x:c>
      <x:c r="F31" s="20" t="str">
        <x:v>Wire transfer</x:v>
      </x:c>
      <x:c r="G31" s="20" t="str">
        <x:v>varied_training_invoices_2026_05/vendor_invoice_varied_13_subscription_bottom_address.pdf</x:v>
      </x:c>
      <x:c r="H31" s="28" t="n">
        <x:v>1</x:v>
      </x:c>
      <x:c r="I31" s="28" t="n">
        <x:v>1</x:v>
      </x:c>
      <x:c r="J31" s="30" t="str">
        <x:v>varied_training_invoices_2026_05/vendor_invoice_varied_13_subscription_bottom_address.pdf#p1</x:v>
      </x:c>
      <x:c r="K31" s="24" t="n">
        <x:v>46160</x:v>
      </x:c>
      <x:c r="L31" s="20" t="str">
        <x:v>LF-OPER-USD-0881</x:v>
      </x:c>
    </x:row>
    <x:row r="32" ht="26.399999618530273" hidden="0" customHeight="1">
      <x:c r="A32" s="20" t="str">
        <x:v>QCM-2026-519</x:v>
      </x:c>
      <x:c r="B32" s="24" t="n">
        <x:v>46161</x:v>
      </x:c>
      <x:c r="C32" s="20" t="str">
        <x:v>Quarry Cafe Meetings</x:v>
      </x:c>
      <x:c r="D32" s="20" t="str">
        <x:v>USD</x:v>
      </x:c>
      <x:c r="E32" s="26" t="n">
        <x:v>440</x:v>
      </x:c>
      <x:c r="F32" s="20" t="str">
        <x:v>Card settlement</x:v>
      </x:c>
      <x:c r="G32" s="20" t="str">
        <x:v>varied_training_invoices_2026_05/vendor_invoice_varied_19_one_page_receipt_no_period.pdf</x:v>
      </x:c>
      <x:c r="H32" s="28" t="n">
        <x:v>1</x:v>
      </x:c>
      <x:c r="I32" s="28" t="n">
        <x:v>1</x:v>
      </x:c>
      <x:c r="J32" s="30" t="str">
        <x:v>varied_training_invoices_2026_05/vendor_invoice_varied_19_one_page_receipt_no_period.pdf#p1</x:v>
      </x:c>
      <x:c r="K32" s="24" t="n">
        <x:v>46161</x:v>
      </x:c>
      <x:c r="L32" s="20" t="str">
        <x:v>LF-OPER-USD-0881</x:v>
      </x:c>
    </x:row>
    <x:row r="33" ht="15" hidden="0" customHeight="1">
      <x:c r="A33" s="20" t="str">
        <x:v>JEL-2662</x:v>
      </x:c>
      <x:c r="B33" s="24" t="n">
        <x:v>46154</x:v>
      </x:c>
      <x:c r="C33" s="20" t="str">
        <x:v>Jade Event Logistics</x:v>
      </x:c>
      <x:c r="D33" s="20" t="str">
        <x:v>HKD</x:v>
      </x:c>
      <x:c r="E33" s="26" t="n">
        <x:v>11958.3</x:v>
      </x:c>
      <x:c r="F33" s="20" t="str">
        <x:v>Wire transfer</x:v>
      </x:c>
      <x:c r="G33" s="20" t="str">
        <x:v>varied_training_invoices_2026_05/vendor_invoice_varied_12_hkd_invoice_tax.pdf</x:v>
      </x:c>
      <x:c r="H33" s="28" t="n">
        <x:v>1</x:v>
      </x:c>
      <x:c r="I33" s="28" t="n">
        <x:v>1</x:v>
      </x:c>
      <x:c r="J33" s="30" t="str">
        <x:v>varied_training_invoices_2026_05/vendor_invoice_varied_12_hkd_invoice_tax.pdf#p1</x:v>
      </x:c>
      <x:c r="K33" s="24" t="n">
        <x:v>46162</x:v>
      </x:c>
      <x:c r="L33" s="20" t="str">
        <x:v>LF-OPER-HKD-1123</x:v>
      </x:c>
    </x:row>
    <x:row r="34" ht="15" hidden="0" customHeight="1">
      <x:c r="A34" s="20" t="str">
        <x:v>HLS-2026-118</x:v>
      </x:c>
      <x:c r="B34" s="24" t="n">
        <x:v>46145</x:v>
      </x:c>
      <x:c r="C34" s="20" t="str">
        <x:v>Harbor Ledger Services</x:v>
      </x:c>
      <x:c r="D34" s="20" t="str">
        <x:v>USD</x:v>
      </x:c>
      <x:c r="E34" s="26" t="n">
        <x:v>1650</x:v>
      </x:c>
      <x:c r="F34" s="20" t="str">
        <x:v>Wire transfer</x:v>
      </x:c>
      <x:c r="G34" s="20" t="str">
        <x:v>varied_training_invoices_2026_05/vendor_invoice_varied_03_address_bottom.pdf</x:v>
      </x:c>
      <x:c r="H34" s="28" t="n">
        <x:v>1</x:v>
      </x:c>
      <x:c r="I34" s="28" t="n">
        <x:v>1</x:v>
      </x:c>
      <x:c r="J34" s="30" t="str">
        <x:v>varied_training_invoices_2026_05/vendor_invoice_varied_03_address_bottom.pdf#p1</x:v>
      </x:c>
      <x:c r="K34" s="24" t="n">
        <x:v>46167</x:v>
      </x:c>
      <x:c r="L34" s="20" t="str">
        <x:v>LF-OPER-USD-0881</x:v>
      </x:c>
    </x:row>
    <x:row r="35" ht="26.399999618530273" hidden="0" customHeight="1">
      <x:c r="A35" s="20" t="str">
        <x:v>OHR-2026-117</x:v>
      </x:c>
      <x:c r="B35" s="24" t="n">
        <x:v>46159</x:v>
      </x:c>
      <x:c r="C35" s="20" t="str">
        <x:v>Orchid HR Payroll</x:v>
      </x:c>
      <x:c r="D35" s="20" t="str">
        <x:v>USD</x:v>
      </x:c>
      <x:c r="E35" s="26" t="n">
        <x:v>936</x:v>
      </x:c>
      <x:c r="F35" s="20" t="str">
        <x:v>Wire transfer</x:v>
      </x:c>
      <x:c r="G35" s="20" t="str">
        <x:v>varied_training_invoices_2026_05/vendor_invoice_varied_17_bill_to_missing_vendor_address.pdf</x:v>
      </x:c>
      <x:c r="H35" s="28" t="n">
        <x:v>1</x:v>
      </x:c>
      <x:c r="I35" s="28" t="n">
        <x:v>1</x:v>
      </x:c>
      <x:c r="J35" s="30" t="str">
        <x:v>varied_training_invoices_2026_05/vendor_invoice_varied_17_bill_to_missing_vendor_address.pdf#p1</x:v>
      </x:c>
      <x:c r="K35" s="24" t="n">
        <x:v>46167</x:v>
      </x:c>
      <x:c r="L35" s="20" t="str">
        <x:v>LF-OPER-USD-0881</x:v>
      </x:c>
    </x:row>
    <x:row r="36" ht="26.399999618530273" hidden="0" customHeight="1">
      <x:c r="A36" s="20" t="str">
        <x:v>PTS-2026-1888</x:v>
      </x:c>
      <x:c r="B36" s="24" t="n">
        <x:v>46160</x:v>
      </x:c>
      <x:c r="C36" s="20" t="str">
        <x:v>Pioneer Tax Services</x:v>
      </x:c>
      <x:c r="D36" s="20" t="str">
        <x:v>USD</x:v>
      </x:c>
      <x:c r="E36" s="26" t="n">
        <x:v>5900</x:v>
      </x:c>
      <x:c r="F36" s="20" t="str">
        <x:v>Wire transfer</x:v>
      </x:c>
      <x:c r="G36" s="20" t="str">
        <x:v>varied_training_invoices_2026_05/vendor_invoice_varied_18_big_total_footer_instructions.pdf</x:v>
      </x:c>
      <x:c r="H36" s="28" t="n">
        <x:v>1</x:v>
      </x:c>
      <x:c r="I36" s="28" t="n">
        <x:v>1</x:v>
      </x:c>
      <x:c r="J36" s="30" t="str">
        <x:v>varied_training_invoices_2026_05/vendor_invoice_varied_18_big_total_footer_instructions.pdf#p1</x:v>
      </x:c>
      <x:c r="K36" s="24" t="n">
        <x:v>46167</x:v>
      </x:c>
      <x:c r="L36" s="20" t="str">
        <x:v>LF-OPER-USD-0881</x:v>
      </x:c>
    </x:row>
    <x:row r="37" ht="15" hidden="0" customHeight="1">
      <x:c r="A37" s="20" t="str">
        <x:v>NA-2026-0516</x:v>
      </x:c>
      <x:c r="B37" s="24" t="n">
        <x:v>46158</x:v>
      </x:c>
      <x:c r="C37" s="20" t="str">
        <x:v>Nord Analytics GmbH</x:v>
      </x:c>
      <x:c r="D37" s="20" t="str">
        <x:v>EUR</x:v>
      </x:c>
      <x:c r="E37" s="26" t="n">
        <x:v>2730</x:v>
      </x:c>
      <x:c r="F37" s="20" t="str">
        <x:v>SEPA/IBAN</x:v>
      </x:c>
      <x:c r="G37" s="20" t="str">
        <x:v>varied_training_invoices_2026_05/vendor_invoice_varied_16_eur_reverse_charge.pdf</x:v>
      </x:c>
      <x:c r="H37" s="28" t="n">
        <x:v>1</x:v>
      </x:c>
      <x:c r="I37" s="28" t="n">
        <x:v>1</x:v>
      </x:c>
      <x:c r="J37" s="30" t="str">
        <x:v>varied_training_invoices_2026_05/vendor_invoice_varied_16_eur_reverse_charge.pdf#p1</x:v>
      </x:c>
      <x:c r="K37" s="24" t="n">
        <x:v>46169</x:v>
      </x:c>
      <x:c r="L37" s="20" t="str">
        <x:v>LF-OPER-EUR-4402</x:v>
      </x:c>
    </x:row>
    <x:row r="38" ht="26.399999618530273" hidden="0" customHeight="1">
      <x:c r="A38" s="20" t="str">
        <x:v>PRO-2026-05-11</x:v>
      </x:c>
      <x:c r="B38" s="24" t="n">
        <x:v>46153</x:v>
      </x:c>
      <x:c r="C38" s="20" t="str">
        <x:v>Glasshouse Training Group</x:v>
      </x:c>
      <x:c r="D38" s="20" t="str">
        <x:v>USD</x:v>
      </x:c>
      <x:c r="E38" s="26" t="n">
        <x:v>1725</x:v>
      </x:c>
      <x:c r="F38" s="20" t="str">
        <x:v>Wire transfer</x:v>
      </x:c>
      <x:c r="G38" s="20" t="str">
        <x:v>varied_training_invoices_2026_05/vendor_invoice_varied_11_proforma_missing_addresses.pdf</x:v>
      </x:c>
      <x:c r="H38" s="28" t="n">
        <x:v>1</x:v>
      </x:c>
      <x:c r="I38" s="28" t="n">
        <x:v>1</x:v>
      </x:c>
      <x:c r="J38" s="30" t="str">
        <x:v>varied_training_invoices_2026_05/vendor_invoice_varied_11_proforma_missing_addresses.pdf#p1</x:v>
      </x:c>
      <x:c r="K38" s="24" t="n">
        <x:v>46171</x:v>
      </x:c>
      <x:c r="L38" s="20" t="str">
        <x:v>LF-OPER-USD-0881</x:v>
      </x:c>
    </x:row>
    <x:row r="39" ht="26.399999618530273" hidden="0" customHeight="1">
      <x:c r="A39" s="20" t="str">
        <x:v>LAS-2026-0140</x:v>
      </x:c>
      <x:c r="B39" s="24" t="n">
        <x:v>46156</x:v>
      </x:c>
      <x:c r="C39" s="20" t="str">
        <x:v>Lantern Audit Support</x:v>
      </x:c>
      <x:c r="D39" s="20" t="str">
        <x:v>USD</x:v>
      </x:c>
      <x:c r="E39" s="26" t="n">
        <x:v>5360</x:v>
      </x:c>
      <x:c r="F39" s="20" t="str">
        <x:v>Wire transfer</x:v>
      </x:c>
      <x:c r="G39" s="20" t="str">
        <x:v>varied_training_invoices_2026_05/vendor_invoice_varied_14_multiple_professional_fees.pdf</x:v>
      </x:c>
      <x:c r="H39" s="28" t="n">
        <x:v>1</x:v>
      </x:c>
      <x:c r="I39" s="28" t="n">
        <x:v>1</x:v>
      </x:c>
      <x:c r="J39" s="30" t="str">
        <x:v>varied_training_invoices_2026_05/vendor_invoice_varied_14_multiple_professional_fees.pdf#p1</x:v>
      </x:c>
      <x:c r="K39" s="24" t="n">
        <x:v>46174</x:v>
      </x:c>
      <x:c r="L39" s="20" t="str">
        <x:v>LF-OPER-USD-0881</x:v>
      </x:c>
    </x:row>
    <x:row r="40" ht="26.399999618530273" hidden="0" customHeight="1">
      <x:c r="A40" s="20" t="str">
        <x:v>FRC-2026-144</x:v>
      </x:c>
      <x:c r="B40" s="24" t="n">
        <x:v>46152</x:v>
      </x:c>
      <x:c r="C40" s="20" t="str">
        <x:v>Frontier Risk Consulting</x:v>
      </x:c>
      <x:c r="D40" s="20" t="str">
        <x:v>USD</x:v>
      </x:c>
      <x:c r="E40" s="26" t="n">
        <x:v>2850</x:v>
      </x:c>
      <x:c r="F40" s="20" t="str">
        <x:v>Wire transfer</x:v>
      </x:c>
      <x:c r="G40" s="20" t="str">
        <x:v>varied_training_invoices_2026_05/vendor_invoice_varied_10_footer_addresses_and_wire.pdf</x:v>
      </x:c>
      <x:c r="H40" s="28" t="n">
        <x:v>1</x:v>
      </x:c>
      <x:c r="I40" s="28" t="n">
        <x:v>1</x:v>
      </x:c>
      <x:c r="J40" s="30" t="str">
        <x:v>varied_training_invoices_2026_05/vendor_invoice_varied_10_footer_addresses_and_wire.pdf#p1</x:v>
      </x:c>
      <x:c r="K40" s="24" t="n">
        <x:v>46176</x:v>
      </x:c>
      <x:c r="L40" s="20" t="str">
        <x:v>LF-OPER-USD-0881</x:v>
      </x:c>
    </x:row>
    <x:row r="41" ht="26.399999618530273" hidden="0" customHeight="1">
      <x:c r="A41" s="20" t="str">
        <x:v>SGL-2026-0520</x:v>
      </x:c>
      <x:c r="B41" s="24" t="n">
        <x:v>46162</x:v>
      </x:c>
      <x:c r="C41" s="20" t="str">
        <x:v>Summit Governance Labs</x:v>
      </x:c>
      <x:c r="D41" s="20" t="str">
        <x:v>USD</x:v>
      </x:c>
      <x:c r="E41" s="26" t="n">
        <x:v>1800</x:v>
      </x:c>
      <x:c r="F41" s="20" t="str">
        <x:v>Wire transfer</x:v>
      </x:c>
      <x:c r="G41" s="20" t="str">
        <x:v>varied_training_invoices_2026_05/vendor_invoice_varied_20_bottom_address_missing_payment.pdf</x:v>
      </x:c>
      <x:c r="H41" s="28" t="n">
        <x:v>1</x:v>
      </x:c>
      <x:c r="I41" s="28" t="n">
        <x:v>1</x:v>
      </x:c>
      <x:c r="J41" s="30" t="str">
        <x:v>varied_training_invoices_2026_05/vendor_invoice_varied_20_bottom_address_missing_payment.pdf#p1</x:v>
      </x:c>
      <x:c r="K41" s="24" t="n">
        <x:v>46178</x:v>
      </x:c>
      <x:c r="L41" s="20" t="str">
        <x:v>LF-OPER-USD-0881</x:v>
      </x:c>
    </x:row>
    <x:row r="42" ht="39.599998474121094" hidden="0" customHeight="1">
      <x:c r="A42" s="20" t="str">
        <x:v>SIM-2026-002</x:v>
      </x:c>
      <x:c r="B42" s="24" t="n">
        <x:v>46178</x:v>
      </x:c>
      <x:c r="C42" s="20" t="str">
        <x:v>Apex Field Services Inc.</x:v>
      </x:c>
      <x:c r="D42" s="20" t="str">
        <x:v>USD</x:v>
      </x:c>
      <x:c r="E42" s="26" t="n">
        <x:v>2192.71</x:v>
      </x:c>
      <x:c r="F42" s="20" t="str">
        <x:v>Wire transfer</x:v>
      </x:c>
      <x:c r="G42" s="20" t="str">
        <x:v>SIM-2026-002_text_only_fee.pdf</x:v>
      </x:c>
      <x:c r="H42" s="28" t="n">
        <x:v>1</x:v>
      </x:c>
      <x:c r="I42" s="28" t="n">
        <x:v>3</x:v>
      </x:c>
      <x:c r="J42" s="30" t="str">
        <x:v>BUNDLE-01_multi_invoice_text_only_SIM-2026-001_to_004.pdf#p2; SIM-2026-002_text_only_fee.pdf#p1; multi_invoice_pdf_bundles/BUNDLE-01_multi_invoice_text_only_SIM-2026-001_to_004.pdf#p2</x:v>
      </x:c>
      <x:c r="K42" s="24" t="n">
        <x:v>46189</x:v>
      </x:c>
      <x:c r="L42" s="20" t="str">
        <x:v>LF-OPER-USD-0881</x:v>
      </x:c>
    </x:row>
    <x:row r="43" ht="15" hidden="0" customHeight="1">
      <x:c r="A43" s="20" t="str">
        <x:v>SIM-2026-005</x:v>
      </x:c>
      <x:c r="B43" s="24" t="n">
        <x:v>46184</x:v>
      </x:c>
      <x:c r="C43" s="20" t="str">
        <x:v>Pioneer Audit Services LLC</x:v>
      </x:c>
      <x:c r="D43" s="20" t="str">
        <x:v>USD</x:v>
      </x:c>
      <x:c r="E43" s="26" t="n">
        <x:v>2418.99</x:v>
      </x:c>
      <x:c r="F43" s="20" t="str">
        <x:v>Wire transfer</x:v>
      </x:c>
      <x:c r="G43" s="20" t="str">
        <x:v>SIM-2026-005_text_only_fee.docx</x:v>
      </x:c>
      <x:c r="H43" s="28" t="str"/>
      <x:c r="I43" s="28" t="n">
        <x:v>1</x:v>
      </x:c>
      <x:c r="J43" s="30" t="str">
        <x:v>SIM-2026-005_text_only_fee.docx</x:v>
      </x:c>
      <x:c r="K43" s="24" t="n">
        <x:v>46190</x:v>
      </x:c>
      <x:c r="L43" s="20" t="str">
        <x:v>LF-OPER-USD-0881</x:v>
      </x:c>
    </x:row>
    <x:row r="44" ht="15" hidden="0" customHeight="1">
      <x:c r="A44" s="20" t="str">
        <x:v>PFL-2026-1007</x:v>
      </x:c>
      <x:c r="B44" s="24" t="n">
        <x:v>46167</x:v>
      </x:c>
      <x:c r="C44" s="20" t="str">
        <x:v>Paragon Fiduciary Ltd</x:v>
      </x:c>
      <x:c r="D44" s="20" t="str">
        <x:v>SGD</x:v>
      </x:c>
      <x:c r="E44" s="26" t="n">
        <x:v>105000</x:v>
      </x:c>
      <x:c r="F44" s="20" t="str">
        <x:v>Wire transfer</x:v>
      </x:c>
      <x:c r="G44" s="20" t="str">
        <x:v>invoices_all_20/invoice_08_PFL-2026-1007.pdf</x:v>
      </x:c>
      <x:c r="H44" s="28" t="n">
        <x:v>1</x:v>
      </x:c>
      <x:c r="I44" s="28" t="n">
        <x:v>1</x:v>
      </x:c>
      <x:c r="J44" s="30" t="str">
        <x:v>invoices_all_20/invoice_08_PFL-2026-1007.pdf#p1</x:v>
      </x:c>
      <x:c r="K44" s="24" t="n">
        <x:v>46195</x:v>
      </x:c>
      <x:c r="L44" s="20" t="str">
        <x:v>LF-OPER-SGD-6500</x:v>
      </x:c>
    </x:row>
    <x:row r="45" ht="15" hidden="0" customHeight="1">
      <x:c r="A45" s="20" t="str">
        <x:v>6024081</x:v>
      </x:c>
      <x:c r="B45" s="24" t="n">
        <x:v>46175</x:v>
      </x:c>
      <x:c r="C45" s="20" t="str">
        <x:v>Ogier</x:v>
      </x:c>
      <x:c r="D45" s="20" t="str">
        <x:v>USD</x:v>
      </x:c>
      <x:c r="E45" s="26" t="n">
        <x:v>10295</x:v>
      </x:c>
      <x:c r="F45" s="20" t="str">
        <x:v>Wire transfer</x:v>
      </x:c>
      <x:c r="G45" s="20" t="str">
        <x:v>Ogier Invoice No 6024081.pdf</x:v>
      </x:c>
      <x:c r="H45" s="28" t="n">
        <x:v>1</x:v>
      </x:c>
      <x:c r="I45" s="28" t="n">
        <x:v>1</x:v>
      </x:c>
      <x:c r="J45" s="30" t="str">
        <x:v>Ogier Invoice No 6024081.pdf#p1</x:v>
      </x:c>
      <x:c r="K45" s="24" t="n">
        <x:v>46197</x:v>
      </x:c>
      <x:c r="L45" s="20" t="str">
        <x:v>LF-OPER-USD-0881</x:v>
      </x:c>
    </x:row>
    <x:row r="46" ht="15" hidden="0" customHeight="1">
      <x:c r="A46" s="20" t="str">
        <x:v>SIM-2026-007</x:v>
      </x:c>
      <x:c r="B46" s="24" t="n">
        <x:v>46188</x:v>
      </x:c>
      <x:c r="C46" s="20" t="str">
        <x:v>Northbridge Labs LLC</x:v>
      </x:c>
      <x:c r="D46" s="20" t="str">
        <x:v>USD</x:v>
      </x:c>
      <x:c r="E46" s="26" t="n">
        <x:v>2111.9</x:v>
      </x:c>
      <x:c r="F46" s="20" t="str">
        <x:v>Wire transfer</x:v>
      </x:c>
      <x:c r="G46" s="20" t="str">
        <x:v>SIM-2026-007_text_only_fee.docx</x:v>
      </x:c>
      <x:c r="H46" s="28" t="str"/>
      <x:c r="I46" s="28" t="n">
        <x:v>1</x:v>
      </x:c>
      <x:c r="J46" s="30" t="str">
        <x:v>SIM-2026-007_text_only_fee.docx</x:v>
      </x:c>
      <x:c r="K46" s="24" t="n">
        <x:v>46197</x:v>
      </x:c>
      <x:c r="L46" s="20" t="str">
        <x:v>LF-OPER-USD-0881</x:v>
      </x:c>
    </x:row>
    <x:row r="47" ht="39.599998474121094" hidden="0" customHeight="1">
      <x:c r="A47" s="20" t="str">
        <x:v>SIM-2026-001</x:v>
      </x:c>
      <x:c r="B47" s="24" t="n">
        <x:v>46176</x:v>
      </x:c>
      <x:c r="C47" s="20" t="str">
        <x:v>Northbridge Labs LLC</x:v>
      </x:c>
      <x:c r="D47" s="20" t="str">
        <x:v>USD</x:v>
      </x:c>
      <x:c r="E47" s="26" t="n">
        <x:v>2806.89</x:v>
      </x:c>
      <x:c r="F47" s="20" t="str">
        <x:v>Wire transfer</x:v>
      </x:c>
      <x:c r="G47" s="20" t="str">
        <x:v>SIM-2026-001_text_only_fee.docx</x:v>
      </x:c>
      <x:c r="H47" s="28" t="str"/>
      <x:c r="I47" s="28" t="n">
        <x:v>3</x:v>
      </x:c>
      <x:c r="J47" s="30" t="str">
        <x:v>BUNDLE-01_multi_invoice_text_only_SIM-2026-001_to_004.pdf#p1; SIM-2026-001_text_only_fee.docx; multi_invoice_pdf_bundles/BUNDLE-01_multi_invoice_text_only_SIM-2026-001_to_004.pdf#p1</x:v>
      </x:c>
      <x:c r="K47" s="24" t="n">
        <x:v>46198</x:v>
      </x:c>
      <x:c r="L47" s="20" t="str">
        <x:v>LF-OPER-USD-0881</x:v>
      </x:c>
    </x:row>
    <x:row r="48" ht="39.599998474121094" hidden="0" customHeight="1">
      <x:c r="A48" s="20" t="str">
        <x:v>SIM-2026-003</x:v>
      </x:c>
      <x:c r="B48" s="24" t="n">
        <x:v>46180</x:v>
      </x:c>
      <x:c r="C48" s="20" t="str">
        <x:v>Cedarline Systems LLC</x:v>
      </x:c>
      <x:c r="D48" s="20" t="str">
        <x:v>USD</x:v>
      </x:c>
      <x:c r="E48" s="26" t="n">
        <x:v>3539.59</x:v>
      </x:c>
      <x:c r="F48" s="20" t="str">
        <x:v>Wire transfer</x:v>
      </x:c>
      <x:c r="G48" s="20" t="str">
        <x:v>SIM-2026-003_text_only_fee.docx</x:v>
      </x:c>
      <x:c r="H48" s="28" t="str"/>
      <x:c r="I48" s="28" t="n">
        <x:v>3</x:v>
      </x:c>
      <x:c r="J48" s="30" t="str">
        <x:v>BUNDLE-01_multi_invoice_text_only_SIM-2026-001_to_004.pdf#p3; SIM-2026-003_text_only_fee.docx; multi_invoice_pdf_bundles/BUNDLE-01_multi_invoice_text_only_SIM-2026-001_to_004.pdf#p3</x:v>
      </x:c>
      <x:c r="K48" s="24" t="n">
        <x:v>46199</x:v>
      </x:c>
      <x:c r="L48" s="20" t="str">
        <x:v>LF-OPER-USD-0881</x:v>
      </x:c>
    </x:row>
    <x:row r="49" ht="15" hidden="0" customHeight="1">
      <x:c r="A49" s="20" t="str">
        <x:v>SIM-2026-006</x:v>
      </x:c>
      <x:c r="B49" s="24" t="n">
        <x:v>46186</x:v>
      </x:c>
      <x:c r="C49" s="20" t="str">
        <x:v>Gridline Analytics Ltd.</x:v>
      </x:c>
      <x:c r="D49" s="20" t="str">
        <x:v>USD</x:v>
      </x:c>
      <x:c r="E49" s="26" t="n">
        <x:v>3163.54</x:v>
      </x:c>
      <x:c r="F49" s="20" t="str">
        <x:v>Wire transfer</x:v>
      </x:c>
      <x:c r="G49" s="20" t="str">
        <x:v>SIM-2026-006_text_only_fee.pdf</x:v>
      </x:c>
      <x:c r="H49" s="28" t="n">
        <x:v>1</x:v>
      </x:c>
      <x:c r="I49" s="28" t="n">
        <x:v>1</x:v>
      </x:c>
      <x:c r="J49" s="30" t="str">
        <x:v>SIM-2026-006_text_only_fee.pdf#p1</x:v>
      </x:c>
      <x:c r="K49" s="24" t="n">
        <x:v>46199</x:v>
      </x:c>
      <x:c r="L49" s="20" t="str">
        <x:v>LF-OPER-USD-0881</x:v>
      </x:c>
    </x:row>
    <x:row r="50" ht="15" hidden="0" customHeight="1">
      <x:c r="A50" s="20" t="str">
        <x:v>OCP-2026-1013</x:v>
      </x:c>
      <x:c r="B50" s="24" t="n">
        <x:v>46197</x:v>
      </x:c>
      <x:c r="C50" s="20" t="str">
        <x:v>Oakhurst Consulting Pte. Ltd.</x:v>
      </x:c>
      <x:c r="D50" s="20" t="str">
        <x:v>EUR</x:v>
      </x:c>
      <x:c r="E50" s="26" t="n">
        <x:v>142000</x:v>
      </x:c>
      <x:c r="F50" s="20" t="str">
        <x:v>SEPA/IBAN</x:v>
      </x:c>
      <x:c r="G50" s="20" t="str">
        <x:v>invoices_all_20/invoice_14_OCP-2026-1013.pdf</x:v>
      </x:c>
      <x:c r="H50" s="28" t="n">
        <x:v>1</x:v>
      </x:c>
      <x:c r="I50" s="28" t="n">
        <x:v>1</x:v>
      </x:c>
      <x:c r="J50" s="30" t="str">
        <x:v>invoices_all_20/invoice_14_OCP-2026-1013.pdf#p1</x:v>
      </x:c>
      <x:c r="K50" s="24" t="n">
        <x:v>46209</x:v>
      </x:c>
      <x:c r="L50" s="20" t="str">
        <x:v>LF-OPER-EUR-4402</x:v>
      </x:c>
    </x:row>
    <x:row r="51" ht="39.599998474121094" hidden="0" customHeight="1">
      <x:c r="A51" s="20" t="str">
        <x:v>SIM-2026-004</x:v>
      </x:c>
      <x:c r="B51" s="24" t="n">
        <x:v>46182</x:v>
      </x:c>
      <x:c r="C51" s="20" t="str">
        <x:v>Summit Ridge Operations LLC</x:v>
      </x:c>
      <x:c r="D51" s="20" t="str">
        <x:v>USD</x:v>
      </x:c>
      <x:c r="E51" s="26" t="n">
        <x:v>2265</x:v>
      </x:c>
      <x:c r="F51" s="20" t="str">
        <x:v>Wire transfer</x:v>
      </x:c>
      <x:c r="G51" s="20" t="str">
        <x:v>SIM-2026-004_text_only_fee.pdf</x:v>
      </x:c>
      <x:c r="H51" s="28" t="n">
        <x:v>1</x:v>
      </x:c>
      <x:c r="I51" s="28" t="n">
        <x:v>3</x:v>
      </x:c>
      <x:c r="J51" s="30" t="str">
        <x:v>BUNDLE-01_multi_invoice_text_only_SIM-2026-001_to_004.pdf#p4; SIM-2026-004_text_only_fee.pdf#p1; multi_invoice_pdf_bundles/BUNDLE-01_multi_invoice_text_only_SIM-2026-001_to_004.pdf#p4</x:v>
      </x:c>
      <x:c r="K51" s="24" t="n">
        <x:v>46209</x:v>
      </x:c>
      <x:c r="L51" s="20" t="str">
        <x:v>LF-OPER-USD-0881</x:v>
      </x:c>
    </x:row>
    <x:row r="52" ht="39.599998474121094" hidden="0" customHeight="1">
      <x:c r="A52" s="20" t="str">
        <x:v>SIM-2026-010</x:v>
      </x:c>
      <x:c r="B52" s="24" t="n">
        <x:v>46194</x:v>
      </x:c>
      <x:c r="C52" s="20" t="str">
        <x:v>Summit Ridge Operations LLC</x:v>
      </x:c>
      <x:c r="D52" s="20" t="str">
        <x:v>USD</x:v>
      </x:c>
      <x:c r="E52" s="26" t="n">
        <x:v>2338.18</x:v>
      </x:c>
      <x:c r="F52" s="20" t="str">
        <x:v>Wire transfer</x:v>
      </x:c>
      <x:c r="G52" s="20" t="str">
        <x:v>SIM-2026-010_text_only_fee.pdf</x:v>
      </x:c>
      <x:c r="H52" s="28" t="n">
        <x:v>1</x:v>
      </x:c>
      <x:c r="I52" s="28" t="n">
        <x:v>3</x:v>
      </x:c>
      <x:c r="J52" s="30" t="str">
        <x:v>BUNDLE-02_multi_invoice_mixed_SIM-2026-009_to_014.pdf#p2; SIM-2026-010_text_only_fee.pdf#p1; multi_invoice_pdf_bundles/BUNDLE-02_multi_invoice_mixed_SIM-2026-009_to_014.pdf#p2</x:v>
      </x:c>
      <x:c r="K52" s="24" t="n">
        <x:v>46209</x:v>
      </x:c>
      <x:c r="L52" s="20" t="str">
        <x:v>LF-OPER-USD-0881</x:v>
      </x:c>
    </x:row>
    <x:row r="53" ht="15" hidden="0" customHeight="1">
      <x:c r="A53" s="20" t="str">
        <x:v>SIM-2026-021</x:v>
      </x:c>
      <x:c r="B53" s="24" t="n">
        <x:v>46204</x:v>
      </x:c>
      <x:c r="C53" s="20" t="str">
        <x:v>SHEET Invoice</x:v>
      </x:c>
      <x:c r="D53" s="20" t="str">
        <x:v>USD</x:v>
      </x:c>
      <x:c r="E53" s="26" t="n">
        <x:v>2413.6</x:v>
      </x:c>
      <x:c r="F53" s="20" t="str">
        <x:v>Wire transfer</x:v>
      </x:c>
      <x:c r="G53" s="20" t="str">
        <x:v>SIM-2026-021_excel_text_only_fee.xlsx</x:v>
      </x:c>
      <x:c r="H53" s="28" t="str"/>
      <x:c r="I53" s="28" t="n">
        <x:v>1</x:v>
      </x:c>
      <x:c r="J53" s="30" t="str">
        <x:v>SIM-2026-021_excel_text_only_fee.xlsx</x:v>
      </x:c>
      <x:c r="K53" s="24" t="n">
        <x:v>46209</x:v>
      </x:c>
      <x:c r="L53" s="20" t="str">
        <x:v>LF-OPER-USD-0881</x:v>
      </x:c>
    </x:row>
    <x:row r="54" ht="39.599998474121094" hidden="0" customHeight="1">
      <x:c r="A54" s="20" t="str">
        <x:v>SIM-2026-014</x:v>
      </x:c>
      <x:c r="B54" s="24" t="n">
        <x:v>46202</x:v>
      </x:c>
      <x:c r="C54" s="20" t="str">
        <x:v>Apex Field Services Inc.</x:v>
      </x:c>
      <x:c r="D54" s="20" t="str">
        <x:v>USD</x:v>
      </x:c>
      <x:c r="E54" s="26" t="n">
        <x:v>2203.49</x:v>
      </x:c>
      <x:c r="F54" s="20" t="str">
        <x:v>Wire transfer</x:v>
      </x:c>
      <x:c r="G54" s="20" t="str">
        <x:v>SIM-2026-014_table_line_items.pdf</x:v>
      </x:c>
      <x:c r="H54" s="28" t="n">
        <x:v>1</x:v>
      </x:c>
      <x:c r="I54" s="28" t="n">
        <x:v>3</x:v>
      </x:c>
      <x:c r="J54" s="30" t="str">
        <x:v>BUNDLE-02_multi_invoice_mixed_SIM-2026-009_to_014.pdf#p6; SIM-2026-014_table_line_items.pdf#p1; multi_invoice_pdf_bundles/BUNDLE-02_multi_invoice_mixed_SIM-2026-009_to_014.pdf#p6</x:v>
      </x:c>
      <x:c r="K54" s="24" t="n">
        <x:v>46213</x:v>
      </x:c>
      <x:c r="L54" s="20" t="str">
        <x:v>LF-OPER-USD-0881</x:v>
      </x:c>
    </x:row>
    <x:row r="55" ht="52.79999923706055" hidden="0" customHeight="1">
      <x:c r="A55" s="20" t="str">
        <x:v>SIM-2026-016</x:v>
      </x:c>
      <x:c r="B55" s="24" t="n">
        <x:v>46206</x:v>
      </x:c>
      <x:c r="C55" s="20" t="str">
        <x:v>Summit Ridge Operations LLC</x:v>
      </x:c>
      <x:c r="D55" s="20" t="str">
        <x:v>USD</x:v>
      </x:c>
      <x:c r="E55" s="26" t="n">
        <x:v>1811</x:v>
      </x:c>
      <x:c r="F55" s="20" t="str">
        <x:v>Wire transfer</x:v>
      </x:c>
      <x:c r="G55" s="20" t="str">
        <x:v>SIM-2026-016_table_line_items.pdf</x:v>
      </x:c>
      <x:c r="H55" s="28" t="n">
        <x:v>1</x:v>
      </x:c>
      <x:c r="I55" s="28" t="n">
        <x:v>3</x:v>
      </x:c>
      <x:c r="J55" s="30" t="str">
        <x:v>BUNDLE-03_multi_invoice_table_only_SIM-2026-015_to_020.pdf#p2; SIM-2026-016_table_line_items.pdf#p1; multi_invoice_pdf_bundles/BUNDLE-03_multi_invoice_table_only_SIM-2026-015_to_020.pdf#p2</x:v>
      </x:c>
      <x:c r="K55" s="24" t="n">
        <x:v>46213</x:v>
      </x:c>
      <x:c r="L55" s="20" t="str">
        <x:v>LF-OPER-USD-0881</x:v>
      </x:c>
    </x:row>
    <x:row r="56" ht="15" hidden="0" customHeight="1">
      <x:c r="A56" s="20" t="str">
        <x:v>SIM-2026-008</x:v>
      </x:c>
      <x:c r="B56" s="24" t="n">
        <x:v>46190</x:v>
      </x:c>
      <x:c r="C56" s="20" t="str">
        <x:v>Apex Field Services Inc.</x:v>
      </x:c>
      <x:c r="D56" s="20" t="str">
        <x:v>USD</x:v>
      </x:c>
      <x:c r="E56" s="26" t="n">
        <x:v>2170</x:v>
      </x:c>
      <x:c r="F56" s="20" t="str">
        <x:v>Wire transfer</x:v>
      </x:c>
      <x:c r="G56" s="20" t="str">
        <x:v>SIM-2026-008_text_only_fee.pdf</x:v>
      </x:c>
      <x:c r="H56" s="28" t="n">
        <x:v>1</x:v>
      </x:c>
      <x:c r="I56" s="28" t="n">
        <x:v>1</x:v>
      </x:c>
      <x:c r="J56" s="30" t="str">
        <x:v>SIM-2026-008_text_only_fee.pdf#p1</x:v>
      </x:c>
      <x:c r="K56" s="24" t="n">
        <x:v>46216</x:v>
      </x:c>
      <x:c r="L56" s="20" t="str">
        <x:v>LF-OPER-USD-0881</x:v>
      </x:c>
    </x:row>
    <x:row r="57" ht="52.79999923706055" hidden="0" customHeight="1">
      <x:c r="A57" s="20" t="str">
        <x:v>SIM-2026-015</x:v>
      </x:c>
      <x:c r="B57" s="24" t="n">
        <x:v>46204</x:v>
      </x:c>
      <x:c r="C57" s="20" t="str">
        <x:v>Cedarline Systems LLC</x:v>
      </x:c>
      <x:c r="D57" s="20" t="str">
        <x:v>USD</x:v>
      </x:c>
      <x:c r="E57" s="26" t="n">
        <x:v>2953.43</x:v>
      </x:c>
      <x:c r="F57" s="20" t="str">
        <x:v>Wire transfer</x:v>
      </x:c>
      <x:c r="G57" s="20" t="str">
        <x:v>SIM-2026-015_table_line_items.docx</x:v>
      </x:c>
      <x:c r="H57" s="28" t="str"/>
      <x:c r="I57" s="28" t="n">
        <x:v>3</x:v>
      </x:c>
      <x:c r="J57" s="30" t="str">
        <x:v>BUNDLE-03_multi_invoice_table_only_SIM-2026-015_to_020.pdf#p1; SIM-2026-015_table_line_items.docx; multi_invoice_pdf_bundles/BUNDLE-03_multi_invoice_table_only_SIM-2026-015_to_020.pdf#p1</x:v>
      </x:c>
      <x:c r="K57" s="24" t="n">
        <x:v>46216</x:v>
      </x:c>
      <x:c r="L57" s="20" t="str">
        <x:v>LF-OPER-USD-0881</x:v>
      </x:c>
    </x:row>
    <x:row r="58" ht="15" hidden="0" customHeight="1">
      <x:c r="A58" s="20" t="str">
        <x:v>SIM-2026-022</x:v>
      </x:c>
      <x:c r="B58" s="24" t="n">
        <x:v>46206</x:v>
      </x:c>
      <x:c r="C58" s="20" t="str">
        <x:v>SHEET Invoice</x:v>
      </x:c>
      <x:c r="D58" s="20" t="str">
        <x:v>USD</x:v>
      </x:c>
      <x:c r="E58" s="26" t="n">
        <x:v>2602.16</x:v>
      </x:c>
      <x:c r="F58" s="20" t="str">
        <x:v>Wire transfer</x:v>
      </x:c>
      <x:c r="G58" s="20" t="str">
        <x:v>SIM-2026-022_excel_table_line_items.xlsx</x:v>
      </x:c>
      <x:c r="H58" s="28" t="str"/>
      <x:c r="I58" s="28" t="n">
        <x:v>1</x:v>
      </x:c>
      <x:c r="J58" s="30" t="str">
        <x:v>SIM-2026-022_excel_table_line_items.xlsx</x:v>
      </x:c>
      <x:c r="K58" s="24" t="n">
        <x:v>46216</x:v>
      </x:c>
      <x:c r="L58" s="20" t="str">
        <x:v>LF-OPER-USD-0881</x:v>
      </x:c>
    </x:row>
    <x:row r="59" ht="15" hidden="0" customHeight="1">
      <x:c r="A59" s="20" t="str">
        <x:v>SIM-2026-023</x:v>
      </x:c>
      <x:c r="B59" s="24" t="n">
        <x:v>46208</x:v>
      </x:c>
      <x:c r="C59" s="20" t="str">
        <x:v>SHEET Invoice</x:v>
      </x:c>
      <x:c r="D59" s="20" t="str">
        <x:v>USD</x:v>
      </x:c>
      <x:c r="E59" s="26" t="n">
        <x:v>1735</x:v>
      </x:c>
      <x:c r="F59" s="20" t="str">
        <x:v>Wire transfer</x:v>
      </x:c>
      <x:c r="G59" s="20" t="str">
        <x:v>SIM-2026-023_excel_text_only_fee.xlsx</x:v>
      </x:c>
      <x:c r="H59" s="28" t="str"/>
      <x:c r="I59" s="28" t="n">
        <x:v>1</x:v>
      </x:c>
      <x:c r="J59" s="30" t="str">
        <x:v>SIM-2026-023_excel_text_only_fee.xlsx</x:v>
      </x:c>
      <x:c r="K59" s="24" t="n">
        <x:v>46218</x:v>
      </x:c>
      <x:c r="L59" s="20" t="str">
        <x:v>LF-OPER-USD-0881</x:v>
      </x:c>
    </x:row>
    <x:row r="60" ht="39.599998474121094" hidden="0" customHeight="1">
      <x:c r="A60" s="20" t="str">
        <x:v>SIM-2026-009</x:v>
      </x:c>
      <x:c r="B60" s="24" t="n">
        <x:v>46192</x:v>
      </x:c>
      <x:c r="C60" s="20" t="str">
        <x:v>Cedarline Systems LLC</x:v>
      </x:c>
      <x:c r="D60" s="20" t="str">
        <x:v>USD</x:v>
      </x:c>
      <x:c r="E60" s="26" t="n">
        <x:v>2926.49</x:v>
      </x:c>
      <x:c r="F60" s="20" t="str">
        <x:v>Wire transfer</x:v>
      </x:c>
      <x:c r="G60" s="20" t="str">
        <x:v>SIM-2026-009_text_only_fee.docx</x:v>
      </x:c>
      <x:c r="H60" s="28" t="str"/>
      <x:c r="I60" s="28" t="n">
        <x:v>3</x:v>
      </x:c>
      <x:c r="J60" s="30" t="str">
        <x:v>BUNDLE-02_multi_invoice_mixed_SIM-2026-009_to_014.pdf#p1; SIM-2026-009_text_only_fee.docx; multi_invoice_pdf_bundles/BUNDLE-02_multi_invoice_mixed_SIM-2026-009_to_014.pdf#p1</x:v>
      </x:c>
      <x:c r="K60" s="24" t="n">
        <x:v>46219</x:v>
      </x:c>
      <x:c r="L60" s="20" t="str">
        <x:v>LF-OPER-USD-0881</x:v>
      </x:c>
    </x:row>
    <x:row r="61" ht="52.79999923706055" hidden="0" customHeight="1">
      <x:c r="A61" s="20" t="str">
        <x:v>SIM-2026-017</x:v>
      </x:c>
      <x:c r="B61" s="24" t="n">
        <x:v>46208</x:v>
      </x:c>
      <x:c r="C61" s="20" t="str">
        <x:v>Pioneer Audit Services LLC</x:v>
      </x:c>
      <x:c r="D61" s="20" t="str">
        <x:v>USD</x:v>
      </x:c>
      <x:c r="E61" s="26" t="n">
        <x:v>2650.65</x:v>
      </x:c>
      <x:c r="F61" s="20" t="str">
        <x:v>Wire transfer</x:v>
      </x:c>
      <x:c r="G61" s="20" t="str">
        <x:v>SIM-2026-017_table_line_items.docx</x:v>
      </x:c>
      <x:c r="H61" s="28" t="str"/>
      <x:c r="I61" s="28" t="n">
        <x:v>3</x:v>
      </x:c>
      <x:c r="J61" s="30" t="str">
        <x:v>BUNDLE-03_multi_invoice_table_only_SIM-2026-015_to_020.pdf#p3; SIM-2026-017_table_line_items.docx; multi_invoice_pdf_bundles/BUNDLE-03_multi_invoice_table_only_SIM-2026-015_to_020.pdf#p3</x:v>
      </x:c>
      <x:c r="K61" s="24" t="n">
        <x:v>46219</x:v>
      </x:c>
      <x:c r="L61" s="20" t="str">
        <x:v>LF-OPER-USD-0881</x:v>
      </x:c>
    </x:row>
    <x:row r="62" ht="39.599998474121094" hidden="0" customHeight="1">
      <x:c r="A62" s="20" t="str">
        <x:v>SIM-2026-011</x:v>
      </x:c>
      <x:c r="B62" s="24" t="n">
        <x:v>46196</x:v>
      </x:c>
      <x:c r="C62" s="20" t="str">
        <x:v>Pioneer Audit Services LLC</x:v>
      </x:c>
      <x:c r="D62" s="20" t="str">
        <x:v>USD</x:v>
      </x:c>
      <x:c r="E62" s="26" t="n">
        <x:v>2418.99</x:v>
      </x:c>
      <x:c r="F62" s="20" t="str">
        <x:v>Wire transfer</x:v>
      </x:c>
      <x:c r="G62" s="20" t="str">
        <x:v>SIM-2026-011_text_only_fee.docx</x:v>
      </x:c>
      <x:c r="H62" s="28" t="str"/>
      <x:c r="I62" s="28" t="n">
        <x:v>3</x:v>
      </x:c>
      <x:c r="J62" s="30" t="str">
        <x:v>BUNDLE-02_multi_invoice_mixed_SIM-2026-009_to_014.pdf#p3; SIM-2026-011_text_only_fee.docx; multi_invoice_pdf_bundles/BUNDLE-02_multi_invoice_mixed_SIM-2026-009_to_014.pdf#p3</x:v>
      </x:c>
      <x:c r="K62" s="24" t="n">
        <x:v>46223</x:v>
      </x:c>
      <x:c r="L62" s="20" t="str">
        <x:v>LF-OPER-USD-0881</x:v>
      </x:c>
    </x:row>
    <x:row r="63" ht="52.79999923706055" hidden="0" customHeight="1">
      <x:c r="A63" s="20" t="str">
        <x:v>SIM-2026-018</x:v>
      </x:c>
      <x:c r="B63" s="24" t="n">
        <x:v>46210</x:v>
      </x:c>
      <x:c r="C63" s="20" t="str">
        <x:v>Gridline Analytics Ltd.</x:v>
      </x:c>
      <x:c r="D63" s="20" t="str">
        <x:v>USD</x:v>
      </x:c>
      <x:c r="E63" s="26" t="n">
        <x:v>3356.41</x:v>
      </x:c>
      <x:c r="F63" s="20" t="str">
        <x:v>Wire transfer</x:v>
      </x:c>
      <x:c r="G63" s="20" t="str">
        <x:v>SIM-2026-018_table_line_items.pdf</x:v>
      </x:c>
      <x:c r="H63" s="28" t="n">
        <x:v>1</x:v>
      </x:c>
      <x:c r="I63" s="28" t="n">
        <x:v>3</x:v>
      </x:c>
      <x:c r="J63" s="30" t="str">
        <x:v>BUNDLE-03_multi_invoice_table_only_SIM-2026-015_to_020.pdf#p4; SIM-2026-018_table_line_items.pdf#p1; multi_invoice_pdf_bundles/BUNDLE-03_multi_invoice_table_only_SIM-2026-015_to_020.pdf#p4</x:v>
      </x:c>
      <x:c r="K63" s="24" t="n">
        <x:v>46223</x:v>
      </x:c>
      <x:c r="L63" s="20" t="str">
        <x:v>LF-OPER-USD-0881</x:v>
      </x:c>
    </x:row>
    <x:row r="64" ht="39.599998474121094" hidden="0" customHeight="1">
      <x:c r="A64" s="20" t="str">
        <x:v>SIM-2026-012</x:v>
      </x:c>
      <x:c r="B64" s="24" t="n">
        <x:v>46198</x:v>
      </x:c>
      <x:c r="C64" s="20" t="str">
        <x:v>Gridline Analytics Ltd.</x:v>
      </x:c>
      <x:c r="D64" s="20" t="str">
        <x:v>USD</x:v>
      </x:c>
      <x:c r="E64" s="26" t="n">
        <x:v>3025</x:v>
      </x:c>
      <x:c r="F64" s="20" t="str">
        <x:v>Wire transfer</x:v>
      </x:c>
      <x:c r="G64" s="20" t="str">
        <x:v>SIM-2026-012_text_only_fee.pdf</x:v>
      </x:c>
      <x:c r="H64" s="28" t="n">
        <x:v>1</x:v>
      </x:c>
      <x:c r="I64" s="28" t="n">
        <x:v>3</x:v>
      </x:c>
      <x:c r="J64" s="30" t="str">
        <x:v>BUNDLE-02_multi_invoice_mixed_SIM-2026-009_to_014.pdf#p4; SIM-2026-012_text_only_fee.pdf#p1; multi_invoice_pdf_bundles/BUNDLE-02_multi_invoice_mixed_SIM-2026-009_to_014.pdf#p4</x:v>
      </x:c>
      <x:c r="K64" s="24" t="n">
        <x:v>46224</x:v>
      </x:c>
      <x:c r="L64" s="20" t="str">
        <x:v>LF-OPER-USD-0881</x:v>
      </x:c>
    </x:row>
    <x:row r="65" ht="52.79999923706055" hidden="0" customHeight="1">
      <x:c r="A65" s="20" t="str">
        <x:v>SIM-2026-019</x:v>
      </x:c>
      <x:c r="B65" s="24" t="n">
        <x:v>46212</x:v>
      </x:c>
      <x:c r="C65" s="20" t="str">
        <x:v>Northbridge Labs LLC</x:v>
      </x:c>
      <x:c r="D65" s="20" t="str">
        <x:v>USD</x:v>
      </x:c>
      <x:c r="E65" s="26" t="n">
        <x:v>2316.63</x:v>
      </x:c>
      <x:c r="F65" s="20" t="str">
        <x:v>Wire transfer</x:v>
      </x:c>
      <x:c r="G65" s="20" t="str">
        <x:v>SIM-2026-019_table_line_items.docx</x:v>
      </x:c>
      <x:c r="H65" s="28" t="str"/>
      <x:c r="I65" s="28" t="n">
        <x:v>3</x:v>
      </x:c>
      <x:c r="J65" s="30" t="str">
        <x:v>BUNDLE-03_multi_invoice_table_only_SIM-2026-015_to_020.pdf#p5; SIM-2026-019_table_line_items.docx; multi_invoice_pdf_bundles/BUNDLE-03_multi_invoice_table_only_SIM-2026-015_to_020.pdf#p5</x:v>
      </x:c>
      <x:c r="K65" s="24" t="n">
        <x:v>46225</x:v>
      </x:c>
      <x:c r="L65" s="20" t="str">
        <x:v>LF-OPER-USD-0881</x:v>
      </x:c>
    </x:row>
    <x:row r="66" ht="39.599998474121094" hidden="0" customHeight="1">
      <x:c r="A66" s="20" t="str">
        <x:v>SIM-2026-013</x:v>
      </x:c>
      <x:c r="B66" s="24" t="n">
        <x:v>46200</x:v>
      </x:c>
      <x:c r="C66" s="20" t="str">
        <x:v>Northbridge Labs LLC</x:v>
      </x:c>
      <x:c r="D66" s="20" t="str">
        <x:v>USD</x:v>
      </x:c>
      <x:c r="E66" s="26" t="n">
        <x:v>2198.1</x:v>
      </x:c>
      <x:c r="F66" s="20" t="str">
        <x:v>Wire transfer</x:v>
      </x:c>
      <x:c r="G66" s="20" t="str">
        <x:v>SIM-2026-013_table_line_items.docx</x:v>
      </x:c>
      <x:c r="H66" s="28" t="str"/>
      <x:c r="I66" s="28" t="n">
        <x:v>3</x:v>
      </x:c>
      <x:c r="J66" s="30" t="str">
        <x:v>BUNDLE-02_multi_invoice_mixed_SIM-2026-009_to_014.pdf#p5; SIM-2026-013_table_line_items.docx; multi_invoice_pdf_bundles/BUNDLE-02_multi_invoice_mixed_SIM-2026-009_to_014.pdf#p5</x:v>
      </x:c>
      <x:c r="K66" s="24" t="n">
        <x:v>46226</x:v>
      </x:c>
      <x:c r="L66" s="20" t="str">
        <x:v>LF-OPER-USD-0881</x:v>
      </x:c>
    </x:row>
    <x:row r="67" ht="52.79999923706055" hidden="0" customHeight="1">
      <x:c r="A67" s="20" t="str">
        <x:v>SIM-2026-020</x:v>
      </x:c>
      <x:c r="B67" s="24" t="n">
        <x:v>46214</x:v>
      </x:c>
      <x:c r="C67" s="20" t="str">
        <x:v>Apex Field Services Inc.</x:v>
      </x:c>
      <x:c r="D67" s="20" t="str">
        <x:v>USD</x:v>
      </x:c>
      <x:c r="E67" s="26" t="n">
        <x:v>2685</x:v>
      </x:c>
      <x:c r="F67" s="20" t="str">
        <x:v>Wire transfer</x:v>
      </x:c>
      <x:c r="G67" s="20" t="str">
        <x:v>SIM-2026-020_table_line_items.pdf</x:v>
      </x:c>
      <x:c r="H67" s="28" t="n">
        <x:v>1</x:v>
      </x:c>
      <x:c r="I67" s="28" t="n">
        <x:v>3</x:v>
      </x:c>
      <x:c r="J67" s="30" t="str">
        <x:v>BUNDLE-03_multi_invoice_table_only_SIM-2026-015_to_020.pdf#p6; SIM-2026-020_table_line_items.pdf#p1; multi_invoice_pdf_bundles/BUNDLE-03_multi_invoice_table_only_SIM-2026-015_to_020.pdf#p6</x:v>
      </x:c>
      <x:c r="K67" s="24" t="n">
        <x:v>46227</x:v>
      </x:c>
      <x:c r="L67" s="20" t="str">
        <x:v>LF-OPER-USD-0881</x:v>
      </x:c>
    </x:row>
    <x:row r="68" ht="15" hidden="0" customHeight="1">
      <x:c r="A68" s="20" t="str">
        <x:v>SIM-2026-030</x:v>
      </x:c>
      <x:c r="B68" s="24" t="n">
        <x:v>46222</x:v>
      </x:c>
      <x:c r="C68" s="20" t="str">
        <x:v>Summit Pixel Billing LLC</x:v>
      </x:c>
      <x:c r="D68" s="20" t="str">
        <x:v>USD</x:v>
      </x:c>
      <x:c r="E68" s="26" t="n">
        <x:v>1664.74</x:v>
      </x:c>
      <x:c r="F68" s="20" t="str">
        <x:v>Wire transfer</x:v>
      </x:c>
      <x:c r="G68" s="20" t="str">
        <x:v>SIM-2026-030_png_text_only_fee.png</x:v>
      </x:c>
      <x:c r="H68" s="28" t="str"/>
      <x:c r="I68" s="28" t="n">
        <x:v>1</x:v>
      </x:c>
      <x:c r="J68" s="30" t="str">
        <x:v>SIM-2026-030_png_text_only_fee.png</x:v>
      </x:c>
      <x:c r="K68" s="24" t="n">
        <x:v>46232</x:v>
      </x:c>
      <x:c r="L68" s="20" t="str">
        <x:v>LF-OPER-USD-0881</x:v>
      </x:c>
    </x:row>
    <x:row r="69" ht="15" hidden="0" customHeight="1">
      <x:c r="A69" s="20" t="str">
        <x:v>SIM-2026-025</x:v>
      </x:c>
      <x:c r="B69" s="24" t="n">
        <x:v>46212</x:v>
      </x:c>
      <x:c r="C69" s="20" t="str">
        <x:v>SHEET Invoice</x:v>
      </x:c>
      <x:c r="D69" s="20" t="str">
        <x:v>USD</x:v>
      </x:c>
      <x:c r="E69" s="26" t="n">
        <x:v>2241.2</x:v>
      </x:c>
      <x:c r="F69" s="20" t="str">
        <x:v>Wire transfer</x:v>
      </x:c>
      <x:c r="G69" s="20" t="str">
        <x:v>SIM-2026-025_excel_text_only_fee.xlsx</x:v>
      </x:c>
      <x:c r="H69" s="28" t="str"/>
      <x:c r="I69" s="28" t="n">
        <x:v>1</x:v>
      </x:c>
      <x:c r="J69" s="30" t="str">
        <x:v>SIM-2026-025_excel_text_only_fee.xlsx</x:v>
      </x:c>
      <x:c r="K69" s="24" t="n">
        <x:v>46234</x:v>
      </x:c>
      <x:c r="L69" s="20" t="str">
        <x:v>LF-OPER-USD-0881</x:v>
      </x:c>
    </x:row>
    <x:row r="70" ht="15" hidden="0" customHeight="1">
      <x:c r="A70" s="20" t="str">
        <x:v>SIM-2026-028</x:v>
      </x:c>
      <x:c r="B70" s="24" t="n">
        <x:v>46218</x:v>
      </x:c>
      <x:c r="C70" s="20" t="str">
        <x:v>Greenfield Office Services LLC</x:v>
      </x:c>
      <x:c r="D70" s="20" t="str">
        <x:v>USD</x:v>
      </x:c>
      <x:c r="E70" s="26" t="n">
        <x:v>1690</x:v>
      </x:c>
      <x:c r="F70" s="20" t="str">
        <x:v>Wire transfer</x:v>
      </x:c>
      <x:c r="G70" s="20" t="str">
        <x:v>SIM-2026-028_png_text_only_fee.png</x:v>
      </x:c>
      <x:c r="H70" s="28" t="str"/>
      <x:c r="I70" s="28" t="n">
        <x:v>1</x:v>
      </x:c>
      <x:c r="J70" s="30" t="str">
        <x:v>SIM-2026-028_png_text_only_fee.png</x:v>
      </x:c>
      <x:c r="K70" s="24" t="n">
        <x:v>46234</x:v>
      </x:c>
      <x:c r="L70" s="20" t="str">
        <x:v>LF-OPER-USD-0881</x:v>
      </x:c>
    </x:row>
    <x:row r="71" ht="15" hidden="0" customHeight="1">
      <x:c r="A71" s="20" t="str">
        <x:v>SIM-2026-024</x:v>
      </x:c>
      <x:c r="B71" s="24" t="n">
        <x:v>46210</x:v>
      </x:c>
      <x:c r="C71" s="20" t="str">
        <x:v>SHEET Invoice</x:v>
      </x:c>
      <x:c r="D71" s="20" t="str">
        <x:v>USD</x:v>
      </x:c>
      <x:c r="E71" s="26" t="n">
        <x:v>2995.45</x:v>
      </x:c>
      <x:c r="F71" s="20" t="str">
        <x:v>Wire transfer</x:v>
      </x:c>
      <x:c r="G71" s="20" t="str">
        <x:v>SIM-2026-024_excel_table_line_items.xlsx</x:v>
      </x:c>
      <x:c r="H71" s="28" t="str"/>
      <x:c r="I71" s="28" t="n">
        <x:v>1</x:v>
      </x:c>
      <x:c r="J71" s="30" t="str">
        <x:v>SIM-2026-024_excel_table_line_items.xlsx</x:v>
      </x:c>
      <x:c r="K71" s="24" t="n">
        <x:v>46237</x:v>
      </x:c>
      <x:c r="L71" s="20" t="str">
        <x:v>LF-OPER-USD-0881</x:v>
      </x:c>
    </x:row>
    <x:row r="72" ht="15" hidden="0" customHeight="1">
      <x:c r="A72" s="20" t="str">
        <x:v>SIM-2026-026</x:v>
      </x:c>
      <x:c r="B72" s="24" t="n">
        <x:v>46214</x:v>
      </x:c>
      <x:c r="C72" s="20" t="str">
        <x:v>Ironwood Receipt Imaging LLC</x:v>
      </x:c>
      <x:c r="D72" s="20" t="str">
        <x:v>USD</x:v>
      </x:c>
      <x:c r="E72" s="26" t="n">
        <x:v>1842.53</x:v>
      </x:c>
      <x:c r="F72" s="20" t="str">
        <x:v>Wire transfer</x:v>
      </x:c>
      <x:c r="G72" s="20" t="str">
        <x:v>SIM-2026-026_png_text_only_fee.png</x:v>
      </x:c>
      <x:c r="H72" s="28" t="str"/>
      <x:c r="I72" s="28" t="n">
        <x:v>1</x:v>
      </x:c>
      <x:c r="J72" s="30" t="str">
        <x:v>SIM-2026-026_png_text_only_fee.png</x:v>
      </x:c>
      <x:c r="K72" s="24" t="n">
        <x:v>46241</x:v>
      </x:c>
      <x:c r="L72" s="20" t="str">
        <x:v>LF-OPER-USD-0881</x:v>
      </x:c>
    </x:row>
    <x:row r="73" ht="15" hidden="0" customHeight="1">
      <x:c r="A73" s="20" t="str">
        <x:v>SIM-2026-027</x:v>
      </x:c>
      <x:c r="B73" s="24" t="n">
        <x:v>46216</x:v>
      </x:c>
      <x:c r="C73" s="20" t="str">
        <x:v>Silverline Parser Fixtures Inc.</x:v>
      </x:c>
      <x:c r="D73" s="20" t="str">
        <x:v>USD</x:v>
      </x:c>
      <x:c r="E73" s="26" t="n">
        <x:v>2160.39</x:v>
      </x:c>
      <x:c r="F73" s="20" t="str">
        <x:v>Wire transfer</x:v>
      </x:c>
      <x:c r="G73" s="20" t="str">
        <x:v>SIM-2026-027_png_table_line_items.png</x:v>
      </x:c>
      <x:c r="H73" s="28" t="str"/>
      <x:c r="I73" s="28" t="n">
        <x:v>1</x:v>
      </x:c>
      <x:c r="J73" s="30" t="str">
        <x:v>SIM-2026-027_png_table_line_items.png</x:v>
      </x:c>
      <x:c r="K73" s="24" t="n">
        <x:v>46244</x:v>
      </x:c>
      <x:c r="L73" s="20" t="str">
        <x:v>LF-OPER-USD-0881</x:v>
      </x:c>
    </x:row>
    <x:row r="74" ht="15" hidden="0" customHeight="1">
      <x:c r="A74" s="22" t="str">
        <x:v>SIM-2026-029</x:v>
      </x:c>
      <x:c r="B74" s="25" t="n">
        <x:v>46220</x:v>
      </x:c>
      <x:c r="C74" s="22" t="str">
        <x:v>Beacon Image Operations Co.</x:v>
      </x:c>
      <x:c r="D74" s="22" t="str">
        <x:v>USD</x:v>
      </x:c>
      <x:c r="E74" s="27" t="n">
        <x:v>2629.1</x:v>
      </x:c>
      <x:c r="F74" s="22" t="str">
        <x:v>Wire transfer</x:v>
      </x:c>
      <x:c r="G74" s="22" t="str">
        <x:v>SIM-2026-029_png_table_line_items.png</x:v>
      </x:c>
      <x:c r="H74" s="29" t="str"/>
      <x:c r="I74" s="29" t="n">
        <x:v>1</x:v>
      </x:c>
      <x:c r="J74" s="31" t="str">
        <x:v>SIM-2026-029_png_table_line_items.png</x:v>
      </x:c>
      <x:c r="K74" s="25" t="n">
        <x:v>46246</x:v>
      </x:c>
      <x:c r="L74" s="22" t="str">
        <x:v>LF-OPER-USD-0881</x:v>
      </x:c>
    </x:row>
  </x:sheetData>
  <x:pageMargins left="0.7" right="0.7" top="0.75" bottom="0.75" header="0.3" footer="0.3"/>
  <x:tableParts count="1">
    <x:tablePart xmlns:r="http://schemas.openxmlformats.org/officeDocument/2006/relationships" r:id="R2a51964bb42f42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38" hidden="0" customWidth="1"/>
    <x:col min="9" max="9" width="16" hidden="0" customWidth="1"/>
    <x:col min="10" max="10" width="18" hidden="0" customWidth="1"/>
    <x:col min="11" max="11" width="16" hidden="0" customWidth="1"/>
  </x:cols>
  <x:sheetData>
    <x:row r="1" ht="15" hidden="0" customHeight="1">
      <x:c r="A1" s="18" t="str">
        <x:v>invoice_id</x:v>
      </x:c>
      <x:c r="B1" s="18" t="str">
        <x:v>transaction_id</x:v>
      </x:c>
      <x:c r="C1" s="18" t="str">
        <x:v>match_label</x:v>
      </x:c>
      <x:c r="D1" s="18" t="str">
        <x:v>expected_currency</x:v>
      </x:c>
      <x:c r="E1" s="19" t="str">
        <x:v>expected_amount</x:v>
      </x:c>
      <x:c r="F1" s="19" t="str">
        <x:v>amount_delta</x:v>
      </x:c>
      <x:c r="G1" s="19" t="str">
        <x:v>date_lag_days</x:v>
      </x:c>
      <x:c r="H1" s="18" t="str">
        <x:v>matching_keys</x:v>
      </x:c>
      <x:c r="I1" s="19" t="str">
        <x:v>invoice_id_count</x:v>
      </x:c>
      <x:c r="J1" s="19" t="str">
        <x:v>transaction_id_count</x:v>
      </x:c>
      <x:c r="K1" s="18" t="str">
        <x:v>one_to_one_check</x:v>
      </x:c>
    </x:row>
    <x:row r="2" ht="15" hidden="0" customHeight="1">
      <x:c r="A2" s="20" t="str">
        <x:v>GP-2025-1001</x:v>
      </x:c>
      <x:c r="B2" s="20" t="str">
        <x:v>TXN-20250203-0001</x:v>
      </x:c>
      <x:c r="C2" s="20" t="str">
        <x:v>positive_1_to_1</x:v>
      </x:c>
      <x:c r="D2" s="20" t="str">
        <x:v>GBP</x:v>
      </x:c>
      <x:c r="E2" s="26" t="n">
        <x:v>217000</x:v>
      </x:c>
      <x:c r="F2" s="26" t="n">
        <x:v>0</x:v>
      </x:c>
      <x:c r="G2" s="28" t="n">
        <x:v>22</x:v>
      </x:c>
      <x:c r="H2" s="20" t="str">
        <x:v>invoice_id + vendor + currency + amount + date_lag</x:v>
      </x:c>
      <x:c r="I2" s="28" t="n">
        <x:f>COUNTIF($A$2:$A$74,A2)</x:f>
        <x:v>1</x:v>
      </x:c>
      <x:c r="J2" s="28" t="n">
        <x:f>COUNTIF($B$2:$B$74,B2)</x:f>
        <x:v>1</x:v>
      </x:c>
      <x:c r="K2" s="20" t="str">
        <x:f>IF(AND(I2=1,J2=1,F2=0),"OK","CHECK")</x:f>
        <x:v>OK</x:v>
      </x:c>
    </x:row>
    <x:row r="3" ht="15" hidden="0" customHeight="1">
      <x:c r="A3" s="20" t="str">
        <x:v>TAL-2025-1000</x:v>
      </x:c>
      <x:c r="B3" s="20" t="str">
        <x:v>TXN-20250217-0002</x:v>
      </x:c>
      <x:c r="C3" s="20" t="str">
        <x:v>positive_1_to_1</x:v>
      </x:c>
      <x:c r="D3" s="20" t="str">
        <x:v>AUD</x:v>
      </x:c>
      <x:c r="E3" s="26" t="n">
        <x:v>92000</x:v>
      </x:c>
      <x:c r="F3" s="26" t="n">
        <x:v>0</x:v>
      </x:c>
      <x:c r="G3" s="28" t="n">
        <x:v>3</x:v>
      </x:c>
      <x:c r="H3" s="20" t="str">
        <x:v>invoice_id + vendor + currency + amount + date_lag</x:v>
      </x:c>
      <x:c r="I3" s="28" t="n">
        <x:f>COUNTIF($A$2:$A$74,A3)</x:f>
        <x:v>1</x:v>
      </x:c>
      <x:c r="J3" s="28" t="n">
        <x:f>COUNTIF($B$2:$B$74,B3)</x:f>
        <x:v>1</x:v>
      </x:c>
      <x:c r="K3" s="20" t="str">
        <x:f>IF(AND(I3=1,J3=1,F3=0),"OK","CHECK")</x:f>
        <x:v>OK</x:v>
      </x:c>
    </x:row>
    <x:row r="4" ht="15" hidden="0" customHeight="1">
      <x:c r="A4" s="20" t="str">
        <x:v>AHP-2025-1018</x:v>
      </x:c>
      <x:c r="B4" s="20" t="str">
        <x:v>TXN-20250331-0003</x:v>
      </x:c>
      <x:c r="C4" s="20" t="str">
        <x:v>positive_1_to_1</x:v>
      </x:c>
      <x:c r="D4" s="20" t="str">
        <x:v>SGD</x:v>
      </x:c>
      <x:c r="E4" s="26" t="n">
        <x:v>135000</x:v>
      </x:c>
      <x:c r="F4" s="26" t="n">
        <x:v>0</x:v>
      </x:c>
      <x:c r="G4" s="28" t="n">
        <x:v>4</x:v>
      </x:c>
      <x:c r="H4" s="20" t="str">
        <x:v>invoice_id + vendor + currency + amount + date_lag</x:v>
      </x:c>
      <x:c r="I4" s="28" t="n">
        <x:f>COUNTIF($A$2:$A$74,A4)</x:f>
        <x:v>1</x:v>
      </x:c>
      <x:c r="J4" s="28" t="n">
        <x:f>COUNTIF($B$2:$B$74,B4)</x:f>
        <x:v>1</x:v>
      </x:c>
      <x:c r="K4" s="20" t="str">
        <x:f>IF(AND(I4=1,J4=1,F4=0),"OK","CHECK")</x:f>
        <x:v>OK</x:v>
      </x:c>
    </x:row>
    <x:row r="5" ht="15" hidden="0" customHeight="1">
      <x:c r="A5" s="20" t="str">
        <x:v>AFS-2025-1005</x:v>
      </x:c>
      <x:c r="B5" s="20" t="str">
        <x:v>TXN-20250407-0004</x:v>
      </x:c>
      <x:c r="C5" s="20" t="str">
        <x:v>positive_1_to_1</x:v>
      </x:c>
      <x:c r="D5" s="20" t="str">
        <x:v>EUR</x:v>
      </x:c>
      <x:c r="E5" s="26" t="n">
        <x:v>86400</x:v>
      </x:c>
      <x:c r="F5" s="26" t="n">
        <x:v>0</x:v>
      </x:c>
      <x:c r="G5" s="28" t="n">
        <x:v>9</x:v>
      </x:c>
      <x:c r="H5" s="20" t="str">
        <x:v>invoice_id + vendor + currency + amount + date_lag</x:v>
      </x:c>
      <x:c r="I5" s="28" t="n">
        <x:f>COUNTIF($A$2:$A$74,A5)</x:f>
        <x:v>1</x:v>
      </x:c>
      <x:c r="J5" s="28" t="n">
        <x:f>COUNTIF($B$2:$B$74,B5)</x:f>
        <x:v>1</x:v>
      </x:c>
      <x:c r="K5" s="20" t="str">
        <x:f>IF(AND(I5=1,J5=1,F5=0),"OK","CHECK")</x:f>
        <x:v>OK</x:v>
      </x:c>
    </x:row>
    <x:row r="6" ht="15" hidden="0" customHeight="1">
      <x:c r="A6" s="20" t="str">
        <x:v>VAP-2025-1006</x:v>
      </x:c>
      <x:c r="B6" s="20" t="str">
        <x:v>TXN-20250430-0005</x:v>
      </x:c>
      <x:c r="C6" s="20" t="str">
        <x:v>positive_1_to_1</x:v>
      </x:c>
      <x:c r="D6" s="20" t="str">
        <x:v>AUD</x:v>
      </x:c>
      <x:c r="E6" s="26" t="n">
        <x:v>280025</x:v>
      </x:c>
      <x:c r="F6" s="26" t="n">
        <x:v>0</x:v>
      </x:c>
      <x:c r="G6" s="28" t="n">
        <x:v>13</x:v>
      </x:c>
      <x:c r="H6" s="20" t="str">
        <x:v>invoice_id + vendor + currency + amount + date_lag</x:v>
      </x:c>
      <x:c r="I6" s="28" t="n">
        <x:f>COUNTIF($A$2:$A$74,A6)</x:f>
        <x:v>1</x:v>
      </x:c>
      <x:c r="J6" s="28" t="n">
        <x:f>COUNTIF($B$2:$B$74,B6)</x:f>
        <x:v>1</x:v>
      </x:c>
      <x:c r="K6" s="20" t="str">
        <x:f>IF(AND(I6=1,J6=1,F6=0),"OK","CHECK")</x:f>
        <x:v>OK</x:v>
      </x:c>
    </x:row>
    <x:row r="7" ht="15" hidden="0" customHeight="1">
      <x:c r="A7" s="20" t="str">
        <x:v>BAL-2025-1015</x:v>
      </x:c>
      <x:c r="B7" s="20" t="str">
        <x:v>TXN-20250509-0006</x:v>
      </x:c>
      <x:c r="C7" s="20" t="str">
        <x:v>positive_1_to_1</x:v>
      </x:c>
      <x:c r="D7" s="20" t="str">
        <x:v>SGD</x:v>
      </x:c>
      <x:c r="E7" s="26" t="n">
        <x:v>67850</x:v>
      </x:c>
      <x:c r="F7" s="26" t="n">
        <x:v>0</x:v>
      </x:c>
      <x:c r="G7" s="28" t="n">
        <x:v>25</x:v>
      </x:c>
      <x:c r="H7" s="20" t="str">
        <x:v>invoice_id + vendor + currency + amount + date_lag</x:v>
      </x:c>
      <x:c r="I7" s="28" t="n">
        <x:f>COUNTIF($A$2:$A$74,A7)</x:f>
        <x:v>1</x:v>
      </x:c>
      <x:c r="J7" s="28" t="n">
        <x:f>COUNTIF($B$2:$B$74,B7)</x:f>
        <x:v>1</x:v>
      </x:c>
      <x:c r="K7" s="20" t="str">
        <x:f>IF(AND(I7=1,J7=1,F7=0),"OK","CHECK")</x:f>
        <x:v>OK</x:v>
      </x:c>
    </x:row>
    <x:row r="8" ht="15" hidden="0" customHeight="1">
      <x:c r="A8" s="20" t="str">
        <x:v>KCS-2025-1004</x:v>
      </x:c>
      <x:c r="B8" s="20" t="str">
        <x:v>TXN-20250523-0007</x:v>
      </x:c>
      <x:c r="C8" s="20" t="str">
        <x:v>positive_1_to_1</x:v>
      </x:c>
      <x:c r="D8" s="20" t="str">
        <x:v>USD</x:v>
      </x:c>
      <x:c r="E8" s="26" t="n">
        <x:v>109620</x:v>
      </x:c>
      <x:c r="F8" s="26" t="n">
        <x:v>0</x:v>
      </x:c>
      <x:c r="G8" s="28" t="n">
        <x:v>8</x:v>
      </x:c>
      <x:c r="H8" s="20" t="str">
        <x:v>invoice_id + vendor + currency + amount + date_lag</x:v>
      </x:c>
      <x:c r="I8" s="28" t="n">
        <x:f>COUNTIF($A$2:$A$74,A8)</x:f>
        <x:v>1</x:v>
      </x:c>
      <x:c r="J8" s="28" t="n">
        <x:f>COUNTIF($B$2:$B$74,B8)</x:f>
        <x:v>1</x:v>
      </x:c>
      <x:c r="K8" s="20" t="str">
        <x:f>IF(AND(I8=1,J8=1,F8=0),"OK","CHECK")</x:f>
        <x:v>OK</x:v>
      </x:c>
    </x:row>
    <x:row r="9" ht="15" hidden="0" customHeight="1">
      <x:c r="A9" s="20" t="str">
        <x:v>CML-2025-1009</x:v>
      </x:c>
      <x:c r="B9" s="20" t="str">
        <x:v>TXN-20250623-0008</x:v>
      </x:c>
      <x:c r="C9" s="20" t="str">
        <x:v>positive_1_to_1</x:v>
      </x:c>
      <x:c r="D9" s="20" t="str">
        <x:v>SGD</x:v>
      </x:c>
      <x:c r="E9" s="26" t="n">
        <x:v>219650</x:v>
      </x:c>
      <x:c r="F9" s="26" t="n">
        <x:v>0</x:v>
      </x:c>
      <x:c r="G9" s="28" t="n">
        <x:v>12</x:v>
      </x:c>
      <x:c r="H9" s="20" t="str">
        <x:v>invoice_id + vendor + currency + amount + date_lag</x:v>
      </x:c>
      <x:c r="I9" s="28" t="n">
        <x:f>COUNTIF($A$2:$A$74,A9)</x:f>
        <x:v>1</x:v>
      </x:c>
      <x:c r="J9" s="28" t="n">
        <x:f>COUNTIF($B$2:$B$74,B9)</x:f>
        <x:v>1</x:v>
      </x:c>
      <x:c r="K9" s="20" t="str">
        <x:f>IF(AND(I9=1,J9=1,F9=0),"OK","CHECK")</x:f>
        <x:v>OK</x:v>
      </x:c>
    </x:row>
    <x:row r="10" ht="15" hidden="0" customHeight="1">
      <x:c r="A10" s="20" t="str">
        <x:v>MEA-2025-1017</x:v>
      </x:c>
      <x:c r="B10" s="20" t="str">
        <x:v>TXN-20250710-0009</x:v>
      </x:c>
      <x:c r="C10" s="20" t="str">
        <x:v>positive_1_to_1</x:v>
      </x:c>
      <x:c r="D10" s="20" t="str">
        <x:v>AUD</x:v>
      </x:c>
      <x:c r="E10" s="26" t="n">
        <x:v>111650</x:v>
      </x:c>
      <x:c r="F10" s="26" t="n">
        <x:v>0</x:v>
      </x:c>
      <x:c r="G10" s="28" t="n">
        <x:v>8</x:v>
      </x:c>
      <x:c r="H10" s="20" t="str">
        <x:v>invoice_id + vendor + currency + amount + date_lag</x:v>
      </x:c>
      <x:c r="I10" s="28" t="n">
        <x:f>COUNTIF($A$2:$A$74,A10)</x:f>
        <x:v>1</x:v>
      </x:c>
      <x:c r="J10" s="28" t="n">
        <x:f>COUNTIF($B$2:$B$74,B10)</x:f>
        <x:v>1</x:v>
      </x:c>
      <x:c r="K10" s="20" t="str">
        <x:f>IF(AND(I10=1,J10=1,F10=0),"OK","CHECK")</x:f>
        <x:v>OK</x:v>
      </x:c>
    </x:row>
    <x:row r="11" ht="15" hidden="0" customHeight="1">
      <x:c r="A11" s="20" t="str">
        <x:v>CWM-2025-1019</x:v>
      </x:c>
      <x:c r="B11" s="20" t="str">
        <x:v>TXN-20250715-0010</x:v>
      </x:c>
      <x:c r="C11" s="20" t="str">
        <x:v>positive_1_to_1</x:v>
      </x:c>
      <x:c r="D11" s="20" t="str">
        <x:v>GBP</x:v>
      </x:c>
      <x:c r="E11" s="26" t="n">
        <x:v>142450</x:v>
      </x:c>
      <x:c r="F11" s="26" t="n">
        <x:v>0</x:v>
      </x:c>
      <x:c r="G11" s="28" t="n">
        <x:v>10</x:v>
      </x:c>
      <x:c r="H11" s="20" t="str">
        <x:v>invoice_id + vendor + currency + amount + date_lag</x:v>
      </x:c>
      <x:c r="I11" s="28" t="n">
        <x:f>COUNTIF($A$2:$A$74,A11)</x:f>
        <x:v>1</x:v>
      </x:c>
      <x:c r="J11" s="28" t="n">
        <x:f>COUNTIF($B$2:$B$74,B11)</x:f>
        <x:v>1</x:v>
      </x:c>
      <x:c r="K11" s="20" t="str">
        <x:f>IF(AND(I11=1,J11=1,F11=0),"OK","CHECK")</x:f>
        <x:v>OK</x:v>
      </x:c>
    </x:row>
    <x:row r="12" ht="15" hidden="0" customHeight="1">
      <x:c r="A12" s="20" t="str">
        <x:f>TEXT(1001,"000000")</x:f>
        <x:v>001001</x:v>
      </x:c>
      <x:c r="B12" s="20" t="str">
        <x:v>TXN-20250901-0011</x:v>
      </x:c>
      <x:c r="C12" s="20" t="str">
        <x:v>positive_1_to_1</x:v>
      </x:c>
      <x:c r="D12" s="20" t="str">
        <x:v>USDT</x:v>
      </x:c>
      <x:c r="E12" s="26" t="n">
        <x:v>24946.34</x:v>
      </x:c>
      <x:c r="F12" s="26" t="n">
        <x:v>0</x:v>
      </x:c>
      <x:c r="G12" s="28" t="n">
        <x:v>4</x:v>
      </x:c>
      <x:c r="H12" s="20" t="str">
        <x:v>invoice_id + vendor + currency + amount + date_lag</x:v>
      </x:c>
      <x:c r="I12" s="28" t="n">
        <x:f>COUNTIF($A$2:$A$74,A12)</x:f>
        <x:v>1</x:v>
      </x:c>
      <x:c r="J12" s="28" t="n">
        <x:f>COUNTIF($B$2:$B$74,B12)</x:f>
        <x:v>1</x:v>
      </x:c>
      <x:c r="K12" s="20" t="str">
        <x:f>IF(AND(I12=1,J12=1,F12=0),"OK","CHECK")</x:f>
        <x:v>OK</x:v>
      </x:c>
    </x:row>
    <x:row r="13" ht="15" hidden="0" customHeight="1">
      <x:c r="A13" s="20" t="str">
        <x:v>SPP-2025-1011</x:v>
      </x:c>
      <x:c r="B13" s="20" t="str">
        <x:v>TXN-20251219-0012</x:v>
      </x:c>
      <x:c r="C13" s="20" t="str">
        <x:v>positive_1_to_1</x:v>
      </x:c>
      <x:c r="D13" s="20" t="str">
        <x:v>USD</x:v>
      </x:c>
      <x:c r="E13" s="26" t="n">
        <x:v>148500</x:v>
      </x:c>
      <x:c r="F13" s="26" t="n">
        <x:v>0</x:v>
      </x:c>
      <x:c r="G13" s="28" t="n">
        <x:v>11</x:v>
      </x:c>
      <x:c r="H13" s="20" t="str">
        <x:v>invoice_id + vendor + currency + amount + date_lag</x:v>
      </x:c>
      <x:c r="I13" s="28" t="n">
        <x:f>COUNTIF($A$2:$A$74,A13)</x:f>
        <x:v>1</x:v>
      </x:c>
      <x:c r="J13" s="28" t="n">
        <x:f>COUNTIF($B$2:$B$74,B13)</x:f>
        <x:v>1</x:v>
      </x:c>
      <x:c r="K13" s="20" t="str">
        <x:f>IF(AND(I13=1,J13=1,F13=0),"OK","CHECK")</x:f>
        <x:v>OK</x:v>
      </x:c>
    </x:row>
    <x:row r="14" ht="15" hidden="0" customHeight="1">
      <x:c r="A14" s="20" t="str">
        <x:v>NSC-2025-1016</x:v>
      </x:c>
      <x:c r="B14" s="20" t="str">
        <x:v>TXN-20260101-0013</x:v>
      </x:c>
      <x:c r="C14" s="20" t="str">
        <x:v>positive_1_to_1</x:v>
      </x:c>
      <x:c r="D14" s="20" t="str">
        <x:v>GBP</x:v>
      </x:c>
      <x:c r="E14" s="26" t="n">
        <x:v>153450</x:v>
      </x:c>
      <x:c r="F14" s="26" t="n">
        <x:v>0</x:v>
      </x:c>
      <x:c r="G14" s="28" t="n">
        <x:v>7</x:v>
      </x:c>
      <x:c r="H14" s="20" t="str">
        <x:v>invoice_id + vendor + currency + amount + date_lag</x:v>
      </x:c>
      <x:c r="I14" s="28" t="n">
        <x:f>COUNTIF($A$2:$A$74,A14)</x:f>
        <x:v>1</x:v>
      </x:c>
      <x:c r="J14" s="28" t="n">
        <x:f>COUNTIF($B$2:$B$74,B14)</x:f>
        <x:v>1</x:v>
      </x:c>
      <x:c r="K14" s="20" t="str">
        <x:f>IF(AND(I14=1,J14=1,F14=0),"OK","CHECK")</x:f>
        <x:v>OK</x:v>
      </x:c>
    </x:row>
    <x:row r="15" ht="15" hidden="0" customHeight="1">
      <x:c r="A15" s="20" t="str">
        <x:v>HCG-2025-1002</x:v>
      </x:c>
      <x:c r="B15" s="20" t="str">
        <x:v>TXN-20260120-0014</x:v>
      </x:c>
      <x:c r="C15" s="20" t="str">
        <x:v>positive_1_to_1</x:v>
      </x:c>
      <x:c r="D15" s="20" t="str">
        <x:v>EUR</x:v>
      </x:c>
      <x:c r="E15" s="26" t="n">
        <x:v>63800</x:v>
      </x:c>
      <x:c r="F15" s="26" t="n">
        <x:v>0</x:v>
      </x:c>
      <x:c r="G15" s="28" t="n">
        <x:v>23</x:v>
      </x:c>
      <x:c r="H15" s="20" t="str">
        <x:v>invoice_id + vendor + currency + amount + date_lag</x:v>
      </x:c>
      <x:c r="I15" s="28" t="n">
        <x:f>COUNTIF($A$2:$A$74,A15)</x:f>
        <x:v>1</x:v>
      </x:c>
      <x:c r="J15" s="28" t="n">
        <x:f>COUNTIF($B$2:$B$74,B15)</x:f>
        <x:v>1</x:v>
      </x:c>
      <x:c r="K15" s="20" t="str">
        <x:f>IF(AND(I15=1,J15=1,F15=0),"OK","CHECK")</x:f>
        <x:v>OK</x:v>
      </x:c>
    </x:row>
    <x:row r="16" ht="15" hidden="0" customHeight="1">
      <x:c r="A16" s="20" t="str">
        <x:v>IAG-2025-1010</x:v>
      </x:c>
      <x:c r="B16" s="20" t="str">
        <x:v>TXN-20260121-0015</x:v>
      </x:c>
      <x:c r="C16" s="20" t="str">
        <x:v>positive_1_to_1</x:v>
      </x:c>
      <x:c r="D16" s="20" t="str">
        <x:v>AUD</x:v>
      </x:c>
      <x:c r="E16" s="26" t="n">
        <x:v>62500</x:v>
      </x:c>
      <x:c r="F16" s="26" t="n">
        <x:v>0</x:v>
      </x:c>
      <x:c r="G16" s="28" t="n">
        <x:v>25</x:v>
      </x:c>
      <x:c r="H16" s="20" t="str">
        <x:v>invoice_id + vendor + currency + amount + date_lag</x:v>
      </x:c>
      <x:c r="I16" s="28" t="n">
        <x:f>COUNTIF($A$2:$A$74,A16)</x:f>
        <x:v>1</x:v>
      </x:c>
      <x:c r="J16" s="28" t="n">
        <x:f>COUNTIF($B$2:$B$74,B16)</x:f>
        <x:v>1</x:v>
      </x:c>
      <x:c r="K16" s="20" t="str">
        <x:f>IF(AND(I16=1,J16=1,F16=0),"OK","CHECK")</x:f>
        <x:v>OK</x:v>
      </x:c>
    </x:row>
    <x:row r="17" ht="15" hidden="0" customHeight="1">
      <x:c r="A17" s="20" t="str">
        <x:v>EML-2026-1008</x:v>
      </x:c>
      <x:c r="B17" s="20" t="str">
        <x:v>TXN-20260324-0016</x:v>
      </x:c>
      <x:c r="C17" s="20" t="str">
        <x:v>positive_1_to_1</x:v>
      </x:c>
      <x:c r="D17" s="20" t="str">
        <x:v>EUR</x:v>
      </x:c>
      <x:c r="E17" s="26" t="n">
        <x:v>107500</x:v>
      </x:c>
      <x:c r="F17" s="26" t="n">
        <x:v>0</x:v>
      </x:c>
      <x:c r="G17" s="28" t="n">
        <x:v>24</x:v>
      </x:c>
      <x:c r="H17" s="20" t="str">
        <x:v>invoice_id + vendor + currency + amount + date_lag</x:v>
      </x:c>
      <x:c r="I17" s="28" t="n">
        <x:f>COUNTIF($A$2:$A$74,A17)</x:f>
        <x:v>1</x:v>
      </x:c>
      <x:c r="J17" s="28" t="n">
        <x:f>COUNTIF($B$2:$B$74,B17)</x:f>
        <x:v>1</x:v>
      </x:c>
      <x:c r="K17" s="20" t="str">
        <x:f>IF(AND(I17=1,J17=1,F17=0),"OK","CHECK")</x:f>
        <x:v>OK</x:v>
      </x:c>
    </x:row>
    <x:row r="18" ht="15" hidden="0" customHeight="1">
      <x:c r="A18" s="20" t="str">
        <x:v>RSI-2026-1003</x:v>
      </x:c>
      <x:c r="B18" s="20" t="str">
        <x:v>TXN-20260408-0017</x:v>
      </x:c>
      <x:c r="C18" s="20" t="str">
        <x:v>positive_1_to_1</x:v>
      </x:c>
      <x:c r="D18" s="20" t="str">
        <x:v>GBP</x:v>
      </x:c>
      <x:c r="E18" s="26" t="n">
        <x:v>89700</x:v>
      </x:c>
      <x:c r="F18" s="26" t="n">
        <x:v>0</x:v>
      </x:c>
      <x:c r="G18" s="28" t="n">
        <x:v>27</x:v>
      </x:c>
      <x:c r="H18" s="20" t="str">
        <x:v>invoice_id + vendor + currency + amount + date_lag</x:v>
      </x:c>
      <x:c r="I18" s="28" t="n">
        <x:f>COUNTIF($A$2:$A$74,A18)</x:f>
        <x:v>1</x:v>
      </x:c>
      <x:c r="J18" s="28" t="n">
        <x:f>COUNTIF($B$2:$B$74,B18)</x:f>
        <x:v>1</x:v>
      </x:c>
      <x:c r="K18" s="20" t="str">
        <x:f>IF(AND(I18=1,J18=1,F18=0),"OK","CHECK")</x:f>
        <x:v>OK</x:v>
      </x:c>
    </x:row>
    <x:row r="19" ht="15" hidden="0" customHeight="1">
      <x:c r="A19" s="20" t="str">
        <x:v>555008</x:v>
      </x:c>
      <x:c r="B19" s="20" t="str">
        <x:v>TXN-20260427-0018</x:v>
      </x:c>
      <x:c r="C19" s="20" t="str">
        <x:v>positive_1_to_1</x:v>
      </x:c>
      <x:c r="D19" s="20" t="str">
        <x:v>USDT</x:v>
      </x:c>
      <x:c r="E19" s="26" t="n">
        <x:v>21000</x:v>
      </x:c>
      <x:c r="F19" s="26" t="n">
        <x:v>0</x:v>
      </x:c>
      <x:c r="G19" s="28" t="n">
        <x:v>5</x:v>
      </x:c>
      <x:c r="H19" s="20" t="str">
        <x:v>invoice_id + vendor + currency + amount + date_lag</x:v>
      </x:c>
      <x:c r="I19" s="28" t="n">
        <x:f>COUNTIF($A$2:$A$74,A19)</x:f>
        <x:v>1</x:v>
      </x:c>
      <x:c r="J19" s="28" t="n">
        <x:f>COUNTIF($B$2:$B$74,B19)</x:f>
        <x:v>1</x:v>
      </x:c>
      <x:c r="K19" s="20" t="str">
        <x:f>IF(AND(I19=1,J19=1,F19=0),"OK","CHECK")</x:f>
        <x:v>OK</x:v>
      </x:c>
    </x:row>
    <x:row r="20" ht="15" hidden="0" customHeight="1">
      <x:c r="A20" s="20" t="str">
        <x:v>NP-2605-002</x:v>
      </x:c>
      <x:c r="B20" s="20" t="str">
        <x:v>TXN-20260505-0019</x:v>
      </x:c>
      <x:c r="C20" s="20" t="str">
        <x:v>positive_1_to_1</x:v>
      </x:c>
      <x:c r="D20" s="20" t="str">
        <x:v>USD</x:v>
      </x:c>
      <x:c r="E20" s="26" t="n">
        <x:v>3200</x:v>
      </x:c>
      <x:c r="F20" s="26" t="n">
        <x:v>0</x:v>
      </x:c>
      <x:c r="G20" s="28" t="n">
        <x:v>3</x:v>
      </x:c>
      <x:c r="H20" s="20" t="str">
        <x:v>invoice_id + vendor + currency + amount + date_lag</x:v>
      </x:c>
      <x:c r="I20" s="28" t="n">
        <x:f>COUNTIF($A$2:$A$74,A20)</x:f>
        <x:v>1</x:v>
      </x:c>
      <x:c r="J20" s="28" t="n">
        <x:f>COUNTIF($B$2:$B$74,B20)</x:f>
        <x:v>1</x:v>
      </x:c>
      <x:c r="K20" s="20" t="str">
        <x:f>IF(AND(I20=1,J20=1,F20=0),"OK","CHECK")</x:f>
        <x:v>OK</x:v>
      </x:c>
    </x:row>
    <x:row r="21" ht="15" hidden="0" customHeight="1">
      <x:c r="A21" s="20" t="str">
        <x:v>CCL-2026-1012</x:v>
      </x:c>
      <x:c r="B21" s="20" t="str">
        <x:v>TXN-20260507-0020</x:v>
      </x:c>
      <x:c r="C21" s="20" t="str">
        <x:v>positive_1_to_1</x:v>
      </x:c>
      <x:c r="D21" s="20" t="str">
        <x:v>USD</x:v>
      </x:c>
      <x:c r="E21" s="26" t="n">
        <x:v>103400</x:v>
      </x:c>
      <x:c r="F21" s="26" t="n">
        <x:v>0</x:v>
      </x:c>
      <x:c r="G21" s="28" t="n">
        <x:v>9</x:v>
      </x:c>
      <x:c r="H21" s="20" t="str">
        <x:v>invoice_id + vendor + currency + amount + date_lag</x:v>
      </x:c>
      <x:c r="I21" s="28" t="n">
        <x:f>COUNTIF($A$2:$A$74,A21)</x:f>
        <x:v>1</x:v>
      </x:c>
      <x:c r="J21" s="28" t="n">
        <x:f>COUNTIF($B$2:$B$74,B21)</x:f>
        <x:v>1</x:v>
      </x:c>
      <x:c r="K21" s="20" t="str">
        <x:f>IF(AND(I21=1,J21=1,F21=0),"OK","CHECK")</x:f>
        <x:v>OK</x:v>
      </x:c>
    </x:row>
    <x:row r="22" ht="15" hidden="0" customHeight="1">
      <x:c r="A22" s="20" t="str">
        <x:v>COA-0526-04</x:v>
      </x:c>
      <x:c r="B22" s="20" t="str">
        <x:v>TXN-20260507-0021</x:v>
      </x:c>
      <x:c r="C22" s="20" t="str">
        <x:v>positive_1_to_1</x:v>
      </x:c>
      <x:c r="D22" s="20" t="str">
        <x:v>USDC</x:v>
      </x:c>
      <x:c r="E22" s="26" t="n">
        <x:v>2850</x:v>
      </x:c>
      <x:c r="F22" s="26" t="n">
        <x:v>0</x:v>
      </x:c>
      <x:c r="G22" s="28" t="n">
        <x:v>3</x:v>
      </x:c>
      <x:c r="H22" s="20" t="str">
        <x:v>invoice_id + vendor + currency + amount + date_lag</x:v>
      </x:c>
      <x:c r="I22" s="28" t="n">
        <x:f>COUNTIF($A$2:$A$74,A22)</x:f>
        <x:v>1</x:v>
      </x:c>
      <x:c r="J22" s="28" t="n">
        <x:f>COUNTIF($B$2:$B$74,B22)</x:f>
        <x:v>1</x:v>
      </x:c>
      <x:c r="K22" s="20" t="str">
        <x:f>IF(AND(I22=1,J22=1,F22=0),"OK","CHECK")</x:f>
        <x:v>OK</x:v>
      </x:c>
    </x:row>
    <x:row r="23" ht="15" hidden="0" customHeight="1">
      <x:c r="A23" s="20" t="str">
        <x:v>PFD-2026-55</x:v>
      </x:c>
      <x:c r="B23" s="20" t="str">
        <x:v>TXN-20260508-0022</x:v>
      </x:c>
      <x:c r="C23" s="20" t="str">
        <x:v>positive_1_to_1</x:v>
      </x:c>
      <x:c r="D23" s="20" t="str">
        <x:v>USD</x:v>
      </x:c>
      <x:c r="E23" s="26" t="n">
        <x:v>3680.5</x:v>
      </x:c>
      <x:c r="F23" s="26" t="n">
        <x:v>0</x:v>
      </x:c>
      <x:c r="G23" s="28" t="n">
        <x:v>3</x:v>
      </x:c>
      <x:c r="H23" s="20" t="str">
        <x:v>invoice_id + vendor + currency + amount + date_lag</x:v>
      </x:c>
      <x:c r="I23" s="28" t="n">
        <x:f>COUNTIF($A$2:$A$74,A23)</x:f>
        <x:v>1</x:v>
      </x:c>
      <x:c r="J23" s="28" t="n">
        <x:f>COUNTIF($B$2:$B$74,B23)</x:f>
        <x:v>1</x:v>
      </x:c>
      <x:c r="K23" s="20" t="str">
        <x:f>IF(AND(I23=1,J23=1,F23=0),"OK","CHECK")</x:f>
        <x:v>OK</x:v>
      </x:c>
    </x:row>
    <x:row r="24" ht="15" hidden="0" customHeight="1">
      <x:c r="A24" s="20" t="str">
        <x:v>CD-INV-7731</x:v>
      </x:c>
      <x:c r="B24" s="20" t="str">
        <x:v>TXN-20260511-0023</x:v>
      </x:c>
      <x:c r="C24" s="20" t="str">
        <x:v>positive_1_to_1</x:v>
      </x:c>
      <x:c r="D24" s="20" t="str">
        <x:v>USD</x:v>
      </x:c>
      <x:c r="E24" s="26" t="n">
        <x:v>854.93</x:v>
      </x:c>
      <x:c r="F24" s="26" t="n">
        <x:v>0</x:v>
      </x:c>
      <x:c r="G24" s="28" t="n">
        <x:v>4</x:v>
      </x:c>
      <x:c r="H24" s="20" t="str">
        <x:v>invoice_id + vendor + currency + amount + date_lag</x:v>
      </x:c>
      <x:c r="I24" s="28" t="n">
        <x:f>COUNTIF($A$2:$A$74,A24)</x:f>
        <x:v>1</x:v>
      </x:c>
      <x:c r="J24" s="28" t="n">
        <x:f>COUNTIF($B$2:$B$74,B24)</x:f>
        <x:v>1</x:v>
      </x:c>
      <x:c r="K24" s="20" t="str">
        <x:f>IF(AND(I24=1,J24=1,F24=0),"OK","CHECK")</x:f>
        <x:v>OK</x:v>
      </x:c>
    </x:row>
    <x:row r="25" ht="15" hidden="0" customHeight="1">
      <x:c r="A25" s="20" t="str">
        <x:v>DELTA-2026-05-R</x:v>
      </x:c>
      <x:c r="B25" s="20" t="str">
        <x:v>TXN-20260511-0024</x:v>
      </x:c>
      <x:c r="C25" s="20" t="str">
        <x:v>positive_1_to_1</x:v>
      </x:c>
      <x:c r="D25" s="20" t="str">
        <x:v>USD</x:v>
      </x:c>
      <x:c r="E25" s="26" t="n">
        <x:v>4500</x:v>
      </x:c>
      <x:c r="F25" s="26" t="n">
        <x:v>0</x:v>
      </x:c>
      <x:c r="G25" s="28" t="n">
        <x:v>3</x:v>
      </x:c>
      <x:c r="H25" s="20" t="str">
        <x:v>invoice_id + vendor + currency + amount + date_lag</x:v>
      </x:c>
      <x:c r="I25" s="28" t="n">
        <x:f>COUNTIF($A$2:$A$74,A25)</x:f>
        <x:v>1</x:v>
      </x:c>
      <x:c r="J25" s="28" t="n">
        <x:f>COUNTIF($B$2:$B$74,B25)</x:f>
        <x:v>1</x:v>
      </x:c>
      <x:c r="K25" s="20" t="str">
        <x:f>IF(AND(I25=1,J25=1,F25=0),"OK","CHECK")</x:f>
        <x:v>OK</x:v>
      </x:c>
    </x:row>
    <x:row r="26" ht="15" hidden="0" customHeight="1">
      <x:c r="A26" s="20" t="str">
        <x:v>BPL-2026-091</x:v>
      </x:c>
      <x:c r="B26" s="20" t="str">
        <x:v>TXN-20260512-0025</x:v>
      </x:c>
      <x:c r="C26" s="20" t="str">
        <x:v>positive_1_to_1</x:v>
      </x:c>
      <x:c r="D26" s="20" t="str">
        <x:v>USD</x:v>
      </x:c>
      <x:c r="E26" s="26" t="n">
        <x:v>2750</x:v>
      </x:c>
      <x:c r="F26" s="26" t="n">
        <x:v>0</x:v>
      </x:c>
      <x:c r="G26" s="28" t="n">
        <x:v>6</x:v>
      </x:c>
      <x:c r="H26" s="20" t="str">
        <x:v>invoice_id + vendor + currency + amount + date_lag</x:v>
      </x:c>
      <x:c r="I26" s="28" t="n">
        <x:f>COUNTIF($A$2:$A$74,A26)</x:f>
        <x:v>1</x:v>
      </x:c>
      <x:c r="J26" s="28" t="n">
        <x:f>COUNTIF($B$2:$B$74,B26)</x:f>
        <x:v>1</x:v>
      </x:c>
      <x:c r="K26" s="20" t="str">
        <x:f>IF(AND(I26=1,J26=1,F26=0),"OK","CHECK")</x:f>
        <x:v>OK</x:v>
      </x:c>
    </x:row>
    <x:row r="27" ht="15" hidden="0" customHeight="1">
      <x:c r="A27" s="20" t="str">
        <x:v>FGI-2026-1014</x:v>
      </x:c>
      <x:c r="B27" s="20" t="str">
        <x:v>TXN-20260513-0026</x:v>
      </x:c>
      <x:c r="C27" s="20" t="str">
        <x:v>positive_1_to_1</x:v>
      </x:c>
      <x:c r="D27" s="20" t="str">
        <x:v>AUD</x:v>
      </x:c>
      <x:c r="E27" s="26" t="n">
        <x:v>120450</x:v>
      </x:c>
      <x:c r="F27" s="26" t="n">
        <x:v>0</x:v>
      </x:c>
      <x:c r="G27" s="28" t="n">
        <x:v>13</x:v>
      </x:c>
      <x:c r="H27" s="20" t="str">
        <x:v>invoice_id + vendor + currency + amount + date_lag</x:v>
      </x:c>
      <x:c r="I27" s="28" t="n">
        <x:f>COUNTIF($A$2:$A$74,A27)</x:f>
        <x:v>1</x:v>
      </x:c>
      <x:c r="J27" s="28" t="n">
        <x:f>COUNTIF($B$2:$B$74,B27)</x:f>
        <x:v>1</x:v>
      </x:c>
      <x:c r="K27" s="20" t="str">
        <x:f>IF(AND(I27=1,J27=1,F27=0),"OK","CHECK")</x:f>
        <x:v>OK</x:v>
      </x:c>
    </x:row>
    <x:row r="28" ht="15" hidden="0" customHeight="1">
      <x:c r="A28" s="20" t="str">
        <x:v>EOS-90031</x:v>
      </x:c>
      <x:c r="B28" s="20" t="str">
        <x:v>TXN-20260514-0027</x:v>
      </x:c>
      <x:c r="C28" s="20" t="str">
        <x:v>positive_1_to_1</x:v>
      </x:c>
      <x:c r="D28" s="20" t="str">
        <x:v>USD</x:v>
      </x:c>
      <x:c r="E28" s="26" t="n">
        <x:v>448.12</x:v>
      </x:c>
      <x:c r="F28" s="26" t="n">
        <x:v>0</x:v>
      </x:c>
      <x:c r="G28" s="28" t="n">
        <x:v>5</x:v>
      </x:c>
      <x:c r="H28" s="20" t="str">
        <x:v>invoice_id + vendor + currency + amount + date_lag</x:v>
      </x:c>
      <x:c r="I28" s="28" t="n">
        <x:f>COUNTIF($A$2:$A$74,A28)</x:f>
        <x:v>1</x:v>
      </x:c>
      <x:c r="J28" s="28" t="n">
        <x:f>COUNTIF($B$2:$B$74,B28)</x:f>
        <x:v>1</x:v>
      </x:c>
      <x:c r="K28" s="20" t="str">
        <x:f>IF(AND(I28=1,J28=1,F28=0),"OK","CHECK")</x:f>
        <x:v>OK</x:v>
      </x:c>
    </x:row>
    <x:row r="29" ht="15" hidden="0" customHeight="1">
      <x:c r="A29" s="20" t="str">
        <x:v>ATL-2026-0501</x:v>
      </x:c>
      <x:c r="B29" s="20" t="str">
        <x:v>TXN-20260515-0028</x:v>
      </x:c>
      <x:c r="C29" s="20" t="str">
        <x:v>positive_1_to_1</x:v>
      </x:c>
      <x:c r="D29" s="20" t="str">
        <x:v>USD</x:v>
      </x:c>
      <x:c r="E29" s="26" t="n">
        <x:v>3570</x:v>
      </x:c>
      <x:c r="F29" s="26" t="n">
        <x:v>0</x:v>
      </x:c>
      <x:c r="G29" s="28" t="n">
        <x:v>14</x:v>
      </x:c>
      <x:c r="H29" s="20" t="str">
        <x:v>invoice_id + vendor + currency + amount + date_lag</x:v>
      </x:c>
      <x:c r="I29" s="28" t="n">
        <x:f>COUNTIF($A$2:$A$74,A29)</x:f>
        <x:v>1</x:v>
      </x:c>
      <x:c r="J29" s="28" t="n">
        <x:f>COUNTIF($B$2:$B$74,B29)</x:f>
        <x:v>1</x:v>
      </x:c>
      <x:c r="K29" s="20" t="str">
        <x:f>IF(AND(I29=1,J29=1,F29=0),"OK","CHECK")</x:f>
        <x:v>OK</x:v>
      </x:c>
    </x:row>
    <x:row r="30" ht="15" hidden="0" customHeight="1">
      <x:c r="A30" s="20" t="str">
        <x:v>MC-15-0526</x:v>
      </x:c>
      <x:c r="B30" s="20" t="str">
        <x:v>TXN-20260515-0029</x:v>
      </x:c>
      <x:c r="C30" s="20" t="str">
        <x:v>positive_1_to_1</x:v>
      </x:c>
      <x:c r="D30" s="20" t="str">
        <x:v>USD</x:v>
      </x:c>
      <x:c r="E30" s="26" t="n">
        <x:v>355</x:v>
      </x:c>
      <x:c r="F30" s="26" t="n">
        <x:v>0</x:v>
      </x:c>
      <x:c r="G30" s="28" t="n">
        <x:v>0</x:v>
      </x:c>
      <x:c r="H30" s="20" t="str">
        <x:v>invoice_id + vendor + currency + amount + date_lag</x:v>
      </x:c>
      <x:c r="I30" s="28" t="n">
        <x:f>COUNTIF($A$2:$A$74,A30)</x:f>
        <x:v>1</x:v>
      </x:c>
      <x:c r="J30" s="28" t="n">
        <x:f>COUNTIF($B$2:$B$74,B30)</x:f>
        <x:v>1</x:v>
      </x:c>
      <x:c r="K30" s="20" t="str">
        <x:f>IF(AND(I30=1,J30=1,F30=0),"OK","CHECK")</x:f>
        <x:v>OK</x:v>
      </x:c>
    </x:row>
    <x:row r="31" ht="15" hidden="0" customHeight="1">
      <x:c r="A31" s="20" t="str">
        <x:v>KDR-2026-778</x:v>
      </x:c>
      <x:c r="B31" s="20" t="str">
        <x:v>TXN-20260518-0030</x:v>
      </x:c>
      <x:c r="C31" s="20" t="str">
        <x:v>positive_1_to_1</x:v>
      </x:c>
      <x:c r="D31" s="20" t="str">
        <x:v>USD</x:v>
      </x:c>
      <x:c r="E31" s="26" t="n">
        <x:v>1100</x:v>
      </x:c>
      <x:c r="F31" s="26" t="n">
        <x:v>0</x:v>
      </x:c>
      <x:c r="G31" s="28" t="n">
        <x:v>5</x:v>
      </x:c>
      <x:c r="H31" s="20" t="str">
        <x:v>invoice_id + vendor + currency + amount + date_lag</x:v>
      </x:c>
      <x:c r="I31" s="28" t="n">
        <x:f>COUNTIF($A$2:$A$74,A31)</x:f>
        <x:v>1</x:v>
      </x:c>
      <x:c r="J31" s="28" t="n">
        <x:f>COUNTIF($B$2:$B$74,B31)</x:f>
        <x:v>1</x:v>
      </x:c>
      <x:c r="K31" s="20" t="str">
        <x:f>IF(AND(I31=1,J31=1,F31=0),"OK","CHECK")</x:f>
        <x:v>OK</x:v>
      </x:c>
    </x:row>
    <x:row r="32" ht="15" hidden="0" customHeight="1">
      <x:c r="A32" s="20" t="str">
        <x:v>QCM-2026-519</x:v>
      </x:c>
      <x:c r="B32" s="20" t="str">
        <x:v>TXN-20260519-0031</x:v>
      </x:c>
      <x:c r="C32" s="20" t="str">
        <x:v>positive_1_to_1</x:v>
      </x:c>
      <x:c r="D32" s="20" t="str">
        <x:v>USD</x:v>
      </x:c>
      <x:c r="E32" s="26" t="n">
        <x:v>440</x:v>
      </x:c>
      <x:c r="F32" s="26" t="n">
        <x:v>0</x:v>
      </x:c>
      <x:c r="G32" s="28" t="n">
        <x:v>0</x:v>
      </x:c>
      <x:c r="H32" s="20" t="str">
        <x:v>invoice_id + vendor + currency + amount + date_lag</x:v>
      </x:c>
      <x:c r="I32" s="28" t="n">
        <x:f>COUNTIF($A$2:$A$74,A32)</x:f>
        <x:v>1</x:v>
      </x:c>
      <x:c r="J32" s="28" t="n">
        <x:f>COUNTIF($B$2:$B$74,B32)</x:f>
        <x:v>1</x:v>
      </x:c>
      <x:c r="K32" s="20" t="str">
        <x:f>IF(AND(I32=1,J32=1,F32=0),"OK","CHECK")</x:f>
        <x:v>OK</x:v>
      </x:c>
    </x:row>
    <x:row r="33" ht="15" hidden="0" customHeight="1">
      <x:c r="A33" s="20" t="str">
        <x:v>JEL-2662</x:v>
      </x:c>
      <x:c r="B33" s="20" t="str">
        <x:v>TXN-20260520-0032</x:v>
      </x:c>
      <x:c r="C33" s="20" t="str">
        <x:v>positive_1_to_1</x:v>
      </x:c>
      <x:c r="D33" s="20" t="str">
        <x:v>HKD</x:v>
      </x:c>
      <x:c r="E33" s="26" t="n">
        <x:v>11958.3</x:v>
      </x:c>
      <x:c r="F33" s="26" t="n">
        <x:v>0</x:v>
      </x:c>
      <x:c r="G33" s="28" t="n">
        <x:v>8</x:v>
      </x:c>
      <x:c r="H33" s="20" t="str">
        <x:v>invoice_id + vendor + currency + amount + date_lag</x:v>
      </x:c>
      <x:c r="I33" s="28" t="n">
        <x:f>COUNTIF($A$2:$A$74,A33)</x:f>
        <x:v>1</x:v>
      </x:c>
      <x:c r="J33" s="28" t="n">
        <x:f>COUNTIF($B$2:$B$74,B33)</x:f>
        <x:v>1</x:v>
      </x:c>
      <x:c r="K33" s="20" t="str">
        <x:f>IF(AND(I33=1,J33=1,F33=0),"OK","CHECK")</x:f>
        <x:v>OK</x:v>
      </x:c>
    </x:row>
    <x:row r="34" ht="15" hidden="0" customHeight="1">
      <x:c r="A34" s="20" t="str">
        <x:v>HLS-2026-118</x:v>
      </x:c>
      <x:c r="B34" s="20" t="str">
        <x:v>TXN-20260525-0033</x:v>
      </x:c>
      <x:c r="C34" s="20" t="str">
        <x:v>positive_1_to_1</x:v>
      </x:c>
      <x:c r="D34" s="20" t="str">
        <x:v>USD</x:v>
      </x:c>
      <x:c r="E34" s="26" t="n">
        <x:v>1650</x:v>
      </x:c>
      <x:c r="F34" s="26" t="n">
        <x:v>0</x:v>
      </x:c>
      <x:c r="G34" s="28" t="n">
        <x:v>22</x:v>
      </x:c>
      <x:c r="H34" s="20" t="str">
        <x:v>invoice_id + vendor + currency + amount + date_lag</x:v>
      </x:c>
      <x:c r="I34" s="28" t="n">
        <x:f>COUNTIF($A$2:$A$74,A34)</x:f>
        <x:v>1</x:v>
      </x:c>
      <x:c r="J34" s="28" t="n">
        <x:f>COUNTIF($B$2:$B$74,B34)</x:f>
        <x:v>1</x:v>
      </x:c>
      <x:c r="K34" s="20" t="str">
        <x:f>IF(AND(I34=1,J34=1,F34=0),"OK","CHECK")</x:f>
        <x:v>OK</x:v>
      </x:c>
    </x:row>
    <x:row r="35" ht="15" hidden="0" customHeight="1">
      <x:c r="A35" s="20" t="str">
        <x:v>OHR-2026-117</x:v>
      </x:c>
      <x:c r="B35" s="20" t="str">
        <x:v>TXN-20260525-0034</x:v>
      </x:c>
      <x:c r="C35" s="20" t="str">
        <x:v>positive_1_to_1</x:v>
      </x:c>
      <x:c r="D35" s="20" t="str">
        <x:v>USD</x:v>
      </x:c>
      <x:c r="E35" s="26" t="n">
        <x:v>936</x:v>
      </x:c>
      <x:c r="F35" s="26" t="n">
        <x:v>0</x:v>
      </x:c>
      <x:c r="G35" s="28" t="n">
        <x:v>8</x:v>
      </x:c>
      <x:c r="H35" s="20" t="str">
        <x:v>invoice_id + vendor + currency + amount + date_lag</x:v>
      </x:c>
      <x:c r="I35" s="28" t="n">
        <x:f>COUNTIF($A$2:$A$74,A35)</x:f>
        <x:v>1</x:v>
      </x:c>
      <x:c r="J35" s="28" t="n">
        <x:f>COUNTIF($B$2:$B$74,B35)</x:f>
        <x:v>1</x:v>
      </x:c>
      <x:c r="K35" s="20" t="str">
        <x:f>IF(AND(I35=1,J35=1,F35=0),"OK","CHECK")</x:f>
        <x:v>OK</x:v>
      </x:c>
    </x:row>
    <x:row r="36" ht="15" hidden="0" customHeight="1">
      <x:c r="A36" s="20" t="str">
        <x:v>PTS-2026-1888</x:v>
      </x:c>
      <x:c r="B36" s="20" t="str">
        <x:v>TXN-20260525-0035</x:v>
      </x:c>
      <x:c r="C36" s="20" t="str">
        <x:v>positive_1_to_1</x:v>
      </x:c>
      <x:c r="D36" s="20" t="str">
        <x:v>USD</x:v>
      </x:c>
      <x:c r="E36" s="26" t="n">
        <x:v>5900</x:v>
      </x:c>
      <x:c r="F36" s="26" t="n">
        <x:v>0</x:v>
      </x:c>
      <x:c r="G36" s="28" t="n">
        <x:v>7</x:v>
      </x:c>
      <x:c r="H36" s="20" t="str">
        <x:v>invoice_id + vendor + currency + amount + date_lag</x:v>
      </x:c>
      <x:c r="I36" s="28" t="n">
        <x:f>COUNTIF($A$2:$A$74,A36)</x:f>
        <x:v>1</x:v>
      </x:c>
      <x:c r="J36" s="28" t="n">
        <x:f>COUNTIF($B$2:$B$74,B36)</x:f>
        <x:v>1</x:v>
      </x:c>
      <x:c r="K36" s="20" t="str">
        <x:f>IF(AND(I36=1,J36=1,F36=0),"OK","CHECK")</x:f>
        <x:v>OK</x:v>
      </x:c>
    </x:row>
    <x:row r="37" ht="15" hidden="0" customHeight="1">
      <x:c r="A37" s="20" t="str">
        <x:v>NA-2026-0516</x:v>
      </x:c>
      <x:c r="B37" s="20" t="str">
        <x:v>TXN-20260527-0036</x:v>
      </x:c>
      <x:c r="C37" s="20" t="str">
        <x:v>positive_1_to_1</x:v>
      </x:c>
      <x:c r="D37" s="20" t="str">
        <x:v>EUR</x:v>
      </x:c>
      <x:c r="E37" s="26" t="n">
        <x:v>2730</x:v>
      </x:c>
      <x:c r="F37" s="26" t="n">
        <x:v>0</x:v>
      </x:c>
      <x:c r="G37" s="28" t="n">
        <x:v>11</x:v>
      </x:c>
      <x:c r="H37" s="20" t="str">
        <x:v>invoice_id + vendor + currency + amount + date_lag</x:v>
      </x:c>
      <x:c r="I37" s="28" t="n">
        <x:f>COUNTIF($A$2:$A$74,A37)</x:f>
        <x:v>1</x:v>
      </x:c>
      <x:c r="J37" s="28" t="n">
        <x:f>COUNTIF($B$2:$B$74,B37)</x:f>
        <x:v>1</x:v>
      </x:c>
      <x:c r="K37" s="20" t="str">
        <x:f>IF(AND(I37=1,J37=1,F37=0),"OK","CHECK")</x:f>
        <x:v>OK</x:v>
      </x:c>
    </x:row>
    <x:row r="38" ht="15" hidden="0" customHeight="1">
      <x:c r="A38" s="20" t="str">
        <x:v>PRO-2026-05-11</x:v>
      </x:c>
      <x:c r="B38" s="20" t="str">
        <x:v>TXN-20260529-0037</x:v>
      </x:c>
      <x:c r="C38" s="20" t="str">
        <x:v>positive_1_to_1</x:v>
      </x:c>
      <x:c r="D38" s="20" t="str">
        <x:v>USD</x:v>
      </x:c>
      <x:c r="E38" s="26" t="n">
        <x:v>1725</x:v>
      </x:c>
      <x:c r="F38" s="26" t="n">
        <x:v>0</x:v>
      </x:c>
      <x:c r="G38" s="28" t="n">
        <x:v>18</x:v>
      </x:c>
      <x:c r="H38" s="20" t="str">
        <x:v>invoice_id + vendor + currency + amount + date_lag</x:v>
      </x:c>
      <x:c r="I38" s="28" t="n">
        <x:f>COUNTIF($A$2:$A$74,A38)</x:f>
        <x:v>1</x:v>
      </x:c>
      <x:c r="J38" s="28" t="n">
        <x:f>COUNTIF($B$2:$B$74,B38)</x:f>
        <x:v>1</x:v>
      </x:c>
      <x:c r="K38" s="20" t="str">
        <x:f>IF(AND(I38=1,J38=1,F38=0),"OK","CHECK")</x:f>
        <x:v>OK</x:v>
      </x:c>
    </x:row>
    <x:row r="39" ht="15" hidden="0" customHeight="1">
      <x:c r="A39" s="20" t="str">
        <x:v>LAS-2026-0140</x:v>
      </x:c>
      <x:c r="B39" s="20" t="str">
        <x:v>TXN-20260601-0038</x:v>
      </x:c>
      <x:c r="C39" s="20" t="str">
        <x:v>positive_1_to_1</x:v>
      </x:c>
      <x:c r="D39" s="20" t="str">
        <x:v>USD</x:v>
      </x:c>
      <x:c r="E39" s="26" t="n">
        <x:v>5360</x:v>
      </x:c>
      <x:c r="F39" s="26" t="n">
        <x:v>0</x:v>
      </x:c>
      <x:c r="G39" s="28" t="n">
        <x:v>18</x:v>
      </x:c>
      <x:c r="H39" s="20" t="str">
        <x:v>invoice_id + vendor + currency + amount + date_lag</x:v>
      </x:c>
      <x:c r="I39" s="28" t="n">
        <x:f>COUNTIF($A$2:$A$74,A39)</x:f>
        <x:v>1</x:v>
      </x:c>
      <x:c r="J39" s="28" t="n">
        <x:f>COUNTIF($B$2:$B$74,B39)</x:f>
        <x:v>1</x:v>
      </x:c>
      <x:c r="K39" s="20" t="str">
        <x:f>IF(AND(I39=1,J39=1,F39=0),"OK","CHECK")</x:f>
        <x:v>OK</x:v>
      </x:c>
    </x:row>
    <x:row r="40" ht="15" hidden="0" customHeight="1">
      <x:c r="A40" s="20" t="str">
        <x:v>FRC-2026-144</x:v>
      </x:c>
      <x:c r="B40" s="20" t="str">
        <x:v>TXN-20260603-0039</x:v>
      </x:c>
      <x:c r="C40" s="20" t="str">
        <x:v>positive_1_to_1</x:v>
      </x:c>
      <x:c r="D40" s="20" t="str">
        <x:v>USD</x:v>
      </x:c>
      <x:c r="E40" s="26" t="n">
        <x:v>2850</x:v>
      </x:c>
      <x:c r="F40" s="26" t="n">
        <x:v>0</x:v>
      </x:c>
      <x:c r="G40" s="28" t="n">
        <x:v>24</x:v>
      </x:c>
      <x:c r="H40" s="20" t="str">
        <x:v>invoice_id + vendor + currency + amount + date_lag</x:v>
      </x:c>
      <x:c r="I40" s="28" t="n">
        <x:f>COUNTIF($A$2:$A$74,A40)</x:f>
        <x:v>1</x:v>
      </x:c>
      <x:c r="J40" s="28" t="n">
        <x:f>COUNTIF($B$2:$B$74,B40)</x:f>
        <x:v>1</x:v>
      </x:c>
      <x:c r="K40" s="20" t="str">
        <x:f>IF(AND(I40=1,J40=1,F40=0),"OK","CHECK")</x:f>
        <x:v>OK</x:v>
      </x:c>
    </x:row>
    <x:row r="41" ht="15" hidden="0" customHeight="1">
      <x:c r="A41" s="20" t="str">
        <x:v>SGL-2026-0520</x:v>
      </x:c>
      <x:c r="B41" s="20" t="str">
        <x:v>TXN-20260605-0040</x:v>
      </x:c>
      <x:c r="C41" s="20" t="str">
        <x:v>positive_1_to_1</x:v>
      </x:c>
      <x:c r="D41" s="20" t="str">
        <x:v>USD</x:v>
      </x:c>
      <x:c r="E41" s="26" t="n">
        <x:v>1800</x:v>
      </x:c>
      <x:c r="F41" s="26" t="n">
        <x:v>0</x:v>
      </x:c>
      <x:c r="G41" s="28" t="n">
        <x:v>16</x:v>
      </x:c>
      <x:c r="H41" s="20" t="str">
        <x:v>invoice_id + vendor + currency + amount + date_lag</x:v>
      </x:c>
      <x:c r="I41" s="28" t="n">
        <x:f>COUNTIF($A$2:$A$74,A41)</x:f>
        <x:v>1</x:v>
      </x:c>
      <x:c r="J41" s="28" t="n">
        <x:f>COUNTIF($B$2:$B$74,B41)</x:f>
        <x:v>1</x:v>
      </x:c>
      <x:c r="K41" s="20" t="str">
        <x:f>IF(AND(I41=1,J41=1,F41=0),"OK","CHECK")</x:f>
        <x:v>OK</x:v>
      </x:c>
    </x:row>
    <x:row r="42" ht="15" hidden="0" customHeight="1">
      <x:c r="A42" s="20" t="str">
        <x:v>SIM-2026-002</x:v>
      </x:c>
      <x:c r="B42" s="20" t="str">
        <x:v>TXN-20260616-0041</x:v>
      </x:c>
      <x:c r="C42" s="20" t="str">
        <x:v>positive_1_to_1</x:v>
      </x:c>
      <x:c r="D42" s="20" t="str">
        <x:v>USD</x:v>
      </x:c>
      <x:c r="E42" s="26" t="n">
        <x:v>2192.71</x:v>
      </x:c>
      <x:c r="F42" s="26" t="n">
        <x:v>0</x:v>
      </x:c>
      <x:c r="G42" s="28" t="n">
        <x:v>11</x:v>
      </x:c>
      <x:c r="H42" s="20" t="str">
        <x:v>invoice_id + vendor + currency + amount + date_lag</x:v>
      </x:c>
      <x:c r="I42" s="28" t="n">
        <x:f>COUNTIF($A$2:$A$74,A42)</x:f>
        <x:v>1</x:v>
      </x:c>
      <x:c r="J42" s="28" t="n">
        <x:f>COUNTIF($B$2:$B$74,B42)</x:f>
        <x:v>1</x:v>
      </x:c>
      <x:c r="K42" s="20" t="str">
        <x:f>IF(AND(I42=1,J42=1,F42=0),"OK","CHECK")</x:f>
        <x:v>OK</x:v>
      </x:c>
    </x:row>
    <x:row r="43" ht="15" hidden="0" customHeight="1">
      <x:c r="A43" s="20" t="str">
        <x:v>SIM-2026-005</x:v>
      </x:c>
      <x:c r="B43" s="20" t="str">
        <x:v>TXN-20260617-0042</x:v>
      </x:c>
      <x:c r="C43" s="20" t="str">
        <x:v>positive_1_to_1</x:v>
      </x:c>
      <x:c r="D43" s="20" t="str">
        <x:v>USD</x:v>
      </x:c>
      <x:c r="E43" s="26" t="n">
        <x:v>2418.99</x:v>
      </x:c>
      <x:c r="F43" s="26" t="n">
        <x:v>0</x:v>
      </x:c>
      <x:c r="G43" s="28" t="n">
        <x:v>6</x:v>
      </x:c>
      <x:c r="H43" s="20" t="str">
        <x:v>invoice_id + vendor + currency + amount + date_lag</x:v>
      </x:c>
      <x:c r="I43" s="28" t="n">
        <x:f>COUNTIF($A$2:$A$74,A43)</x:f>
        <x:v>1</x:v>
      </x:c>
      <x:c r="J43" s="28" t="n">
        <x:f>COUNTIF($B$2:$B$74,B43)</x:f>
        <x:v>1</x:v>
      </x:c>
      <x:c r="K43" s="20" t="str">
        <x:f>IF(AND(I43=1,J43=1,F43=0),"OK","CHECK")</x:f>
        <x:v>OK</x:v>
      </x:c>
    </x:row>
    <x:row r="44" ht="15" hidden="0" customHeight="1">
      <x:c r="A44" s="20" t="str">
        <x:v>PFL-2026-1007</x:v>
      </x:c>
      <x:c r="B44" s="20" t="str">
        <x:v>TXN-20260622-0043</x:v>
      </x:c>
      <x:c r="C44" s="20" t="str">
        <x:v>positive_1_to_1</x:v>
      </x:c>
      <x:c r="D44" s="20" t="str">
        <x:v>SGD</x:v>
      </x:c>
      <x:c r="E44" s="26" t="n">
        <x:v>105000</x:v>
      </x:c>
      <x:c r="F44" s="26" t="n">
        <x:v>0</x:v>
      </x:c>
      <x:c r="G44" s="28" t="n">
        <x:v>28</x:v>
      </x:c>
      <x:c r="H44" s="20" t="str">
        <x:v>invoice_id + vendor + currency + amount + date_lag</x:v>
      </x:c>
      <x:c r="I44" s="28" t="n">
        <x:f>COUNTIF($A$2:$A$74,A44)</x:f>
        <x:v>1</x:v>
      </x:c>
      <x:c r="J44" s="28" t="n">
        <x:f>COUNTIF($B$2:$B$74,B44)</x:f>
        <x:v>1</x:v>
      </x:c>
      <x:c r="K44" s="20" t="str">
        <x:f>IF(AND(I44=1,J44=1,F44=0),"OK","CHECK")</x:f>
        <x:v>OK</x:v>
      </x:c>
    </x:row>
    <x:row r="45" ht="15" hidden="0" customHeight="1">
      <x:c r="A45" s="20" t="str">
        <x:v>6024081</x:v>
      </x:c>
      <x:c r="B45" s="20" t="str">
        <x:v>TXN-20260624-0044</x:v>
      </x:c>
      <x:c r="C45" s="20" t="str">
        <x:v>positive_1_to_1</x:v>
      </x:c>
      <x:c r="D45" s="20" t="str">
        <x:v>USD</x:v>
      </x:c>
      <x:c r="E45" s="26" t="n">
        <x:v>10295</x:v>
      </x:c>
      <x:c r="F45" s="26" t="n">
        <x:v>0</x:v>
      </x:c>
      <x:c r="G45" s="28" t="n">
        <x:v>22</x:v>
      </x:c>
      <x:c r="H45" s="20" t="str">
        <x:v>invoice_id + vendor + currency + amount + date_lag</x:v>
      </x:c>
      <x:c r="I45" s="28" t="n">
        <x:f>COUNTIF($A$2:$A$74,A45)</x:f>
        <x:v>1</x:v>
      </x:c>
      <x:c r="J45" s="28" t="n">
        <x:f>COUNTIF($B$2:$B$74,B45)</x:f>
        <x:v>1</x:v>
      </x:c>
      <x:c r="K45" s="20" t="str">
        <x:f>IF(AND(I45=1,J45=1,F45=0),"OK","CHECK")</x:f>
        <x:v>OK</x:v>
      </x:c>
    </x:row>
    <x:row r="46" ht="15" hidden="0" customHeight="1">
      <x:c r="A46" s="20" t="str">
        <x:v>SIM-2026-007</x:v>
      </x:c>
      <x:c r="B46" s="20" t="str">
        <x:v>TXN-20260624-0045</x:v>
      </x:c>
      <x:c r="C46" s="20" t="str">
        <x:v>positive_1_to_1</x:v>
      </x:c>
      <x:c r="D46" s="20" t="str">
        <x:v>USD</x:v>
      </x:c>
      <x:c r="E46" s="26" t="n">
        <x:v>2111.9</x:v>
      </x:c>
      <x:c r="F46" s="26" t="n">
        <x:v>0</x:v>
      </x:c>
      <x:c r="G46" s="28" t="n">
        <x:v>9</x:v>
      </x:c>
      <x:c r="H46" s="20" t="str">
        <x:v>invoice_id + vendor + currency + amount + date_lag</x:v>
      </x:c>
      <x:c r="I46" s="28" t="n">
        <x:f>COUNTIF($A$2:$A$74,A46)</x:f>
        <x:v>1</x:v>
      </x:c>
      <x:c r="J46" s="28" t="n">
        <x:f>COUNTIF($B$2:$B$74,B46)</x:f>
        <x:v>1</x:v>
      </x:c>
      <x:c r="K46" s="20" t="str">
        <x:f>IF(AND(I46=1,J46=1,F46=0),"OK","CHECK")</x:f>
        <x:v>OK</x:v>
      </x:c>
    </x:row>
    <x:row r="47" ht="15" hidden="0" customHeight="1">
      <x:c r="A47" s="20" t="str">
        <x:v>SIM-2026-001</x:v>
      </x:c>
      <x:c r="B47" s="20" t="str">
        <x:v>TXN-20260625-0046</x:v>
      </x:c>
      <x:c r="C47" s="20" t="str">
        <x:v>positive_1_to_1</x:v>
      </x:c>
      <x:c r="D47" s="20" t="str">
        <x:v>USD</x:v>
      </x:c>
      <x:c r="E47" s="26" t="n">
        <x:v>2806.89</x:v>
      </x:c>
      <x:c r="F47" s="26" t="n">
        <x:v>0</x:v>
      </x:c>
      <x:c r="G47" s="28" t="n">
        <x:v>22</x:v>
      </x:c>
      <x:c r="H47" s="20" t="str">
        <x:v>invoice_id + vendor + currency + amount + date_lag</x:v>
      </x:c>
      <x:c r="I47" s="28" t="n">
        <x:f>COUNTIF($A$2:$A$74,A47)</x:f>
        <x:v>1</x:v>
      </x:c>
      <x:c r="J47" s="28" t="n">
        <x:f>COUNTIF($B$2:$B$74,B47)</x:f>
        <x:v>1</x:v>
      </x:c>
      <x:c r="K47" s="20" t="str">
        <x:f>IF(AND(I47=1,J47=1,F47=0),"OK","CHECK")</x:f>
        <x:v>OK</x:v>
      </x:c>
    </x:row>
    <x:row r="48" ht="15" hidden="0" customHeight="1">
      <x:c r="A48" s="20" t="str">
        <x:v>SIM-2026-003</x:v>
      </x:c>
      <x:c r="B48" s="20" t="str">
        <x:v>TXN-20260626-0047</x:v>
      </x:c>
      <x:c r="C48" s="20" t="str">
        <x:v>positive_1_to_1</x:v>
      </x:c>
      <x:c r="D48" s="20" t="str">
        <x:v>USD</x:v>
      </x:c>
      <x:c r="E48" s="26" t="n">
        <x:v>3539.59</x:v>
      </x:c>
      <x:c r="F48" s="26" t="n">
        <x:v>0</x:v>
      </x:c>
      <x:c r="G48" s="28" t="n">
        <x:v>19</x:v>
      </x:c>
      <x:c r="H48" s="20" t="str">
        <x:v>invoice_id + vendor + currency + amount + date_lag</x:v>
      </x:c>
      <x:c r="I48" s="28" t="n">
        <x:f>COUNTIF($A$2:$A$74,A48)</x:f>
        <x:v>1</x:v>
      </x:c>
      <x:c r="J48" s="28" t="n">
        <x:f>COUNTIF($B$2:$B$74,B48)</x:f>
        <x:v>1</x:v>
      </x:c>
      <x:c r="K48" s="20" t="str">
        <x:f>IF(AND(I48=1,J48=1,F48=0),"OK","CHECK")</x:f>
        <x:v>OK</x:v>
      </x:c>
    </x:row>
    <x:row r="49" ht="15" hidden="0" customHeight="1">
      <x:c r="A49" s="20" t="str">
        <x:v>SIM-2026-006</x:v>
      </x:c>
      <x:c r="B49" s="20" t="str">
        <x:v>TXN-20260626-0048</x:v>
      </x:c>
      <x:c r="C49" s="20" t="str">
        <x:v>positive_1_to_1</x:v>
      </x:c>
      <x:c r="D49" s="20" t="str">
        <x:v>USD</x:v>
      </x:c>
      <x:c r="E49" s="26" t="n">
        <x:v>3163.54</x:v>
      </x:c>
      <x:c r="F49" s="26" t="n">
        <x:v>0</x:v>
      </x:c>
      <x:c r="G49" s="28" t="n">
        <x:v>13</x:v>
      </x:c>
      <x:c r="H49" s="20" t="str">
        <x:v>invoice_id + vendor + currency + amount + date_lag</x:v>
      </x:c>
      <x:c r="I49" s="28" t="n">
        <x:f>COUNTIF($A$2:$A$74,A49)</x:f>
        <x:v>1</x:v>
      </x:c>
      <x:c r="J49" s="28" t="n">
        <x:f>COUNTIF($B$2:$B$74,B49)</x:f>
        <x:v>1</x:v>
      </x:c>
      <x:c r="K49" s="20" t="str">
        <x:f>IF(AND(I49=1,J49=1,F49=0),"OK","CHECK")</x:f>
        <x:v>OK</x:v>
      </x:c>
    </x:row>
    <x:row r="50" ht="15" hidden="0" customHeight="1">
      <x:c r="A50" s="20" t="str">
        <x:v>OCP-2026-1013</x:v>
      </x:c>
      <x:c r="B50" s="20" t="str">
        <x:v>TXN-20260706-0049</x:v>
      </x:c>
      <x:c r="C50" s="20" t="str">
        <x:v>positive_1_to_1</x:v>
      </x:c>
      <x:c r="D50" s="20" t="str">
        <x:v>EUR</x:v>
      </x:c>
      <x:c r="E50" s="26" t="n">
        <x:v>142000</x:v>
      </x:c>
      <x:c r="F50" s="26" t="n">
        <x:v>0</x:v>
      </x:c>
      <x:c r="G50" s="28" t="n">
        <x:v>12</x:v>
      </x:c>
      <x:c r="H50" s="20" t="str">
        <x:v>invoice_id + vendor + currency + amount + date_lag</x:v>
      </x:c>
      <x:c r="I50" s="28" t="n">
        <x:f>COUNTIF($A$2:$A$74,A50)</x:f>
        <x:v>1</x:v>
      </x:c>
      <x:c r="J50" s="28" t="n">
        <x:f>COUNTIF($B$2:$B$74,B50)</x:f>
        <x:v>1</x:v>
      </x:c>
      <x:c r="K50" s="20" t="str">
        <x:f>IF(AND(I50=1,J50=1,F50=0),"OK","CHECK")</x:f>
        <x:v>OK</x:v>
      </x:c>
    </x:row>
    <x:row r="51" ht="15" hidden="0" customHeight="1">
      <x:c r="A51" s="20" t="str">
        <x:v>SIM-2026-004</x:v>
      </x:c>
      <x:c r="B51" s="20" t="str">
        <x:v>TXN-20260706-0050</x:v>
      </x:c>
      <x:c r="C51" s="20" t="str">
        <x:v>positive_1_to_1</x:v>
      </x:c>
      <x:c r="D51" s="20" t="str">
        <x:v>USD</x:v>
      </x:c>
      <x:c r="E51" s="26" t="n">
        <x:v>2265</x:v>
      </x:c>
      <x:c r="F51" s="26" t="n">
        <x:v>0</x:v>
      </x:c>
      <x:c r="G51" s="28" t="n">
        <x:v>27</x:v>
      </x:c>
      <x:c r="H51" s="20" t="str">
        <x:v>invoice_id + vendor + currency + amount + date_lag</x:v>
      </x:c>
      <x:c r="I51" s="28" t="n">
        <x:f>COUNTIF($A$2:$A$74,A51)</x:f>
        <x:v>1</x:v>
      </x:c>
      <x:c r="J51" s="28" t="n">
        <x:f>COUNTIF($B$2:$B$74,B51)</x:f>
        <x:v>1</x:v>
      </x:c>
      <x:c r="K51" s="20" t="str">
        <x:f>IF(AND(I51=1,J51=1,F51=0),"OK","CHECK")</x:f>
        <x:v>OK</x:v>
      </x:c>
    </x:row>
    <x:row r="52" ht="15" hidden="0" customHeight="1">
      <x:c r="A52" s="20" t="str">
        <x:v>SIM-2026-010</x:v>
      </x:c>
      <x:c r="B52" s="20" t="str">
        <x:v>TXN-20260706-0051</x:v>
      </x:c>
      <x:c r="C52" s="20" t="str">
        <x:v>positive_1_to_1</x:v>
      </x:c>
      <x:c r="D52" s="20" t="str">
        <x:v>USD</x:v>
      </x:c>
      <x:c r="E52" s="26" t="n">
        <x:v>2338.18</x:v>
      </x:c>
      <x:c r="F52" s="26" t="n">
        <x:v>0</x:v>
      </x:c>
      <x:c r="G52" s="28" t="n">
        <x:v>15</x:v>
      </x:c>
      <x:c r="H52" s="20" t="str">
        <x:v>invoice_id + vendor + currency + amount + date_lag</x:v>
      </x:c>
      <x:c r="I52" s="28" t="n">
        <x:f>COUNTIF($A$2:$A$74,A52)</x:f>
        <x:v>1</x:v>
      </x:c>
      <x:c r="J52" s="28" t="n">
        <x:f>COUNTIF($B$2:$B$74,B52)</x:f>
        <x:v>1</x:v>
      </x:c>
      <x:c r="K52" s="20" t="str">
        <x:f>IF(AND(I52=1,J52=1,F52=0),"OK","CHECK")</x:f>
        <x:v>OK</x:v>
      </x:c>
    </x:row>
    <x:row r="53" ht="15" hidden="0" customHeight="1">
      <x:c r="A53" s="20" t="str">
        <x:v>SIM-2026-021</x:v>
      </x:c>
      <x:c r="B53" s="20" t="str">
        <x:v>TXN-20260706-0052</x:v>
      </x:c>
      <x:c r="C53" s="20" t="str">
        <x:v>positive_1_to_1</x:v>
      </x:c>
      <x:c r="D53" s="20" t="str">
        <x:v>USD</x:v>
      </x:c>
      <x:c r="E53" s="26" t="n">
        <x:v>2413.6</x:v>
      </x:c>
      <x:c r="F53" s="26" t="n">
        <x:v>0</x:v>
      </x:c>
      <x:c r="G53" s="28" t="n">
        <x:v>5</x:v>
      </x:c>
      <x:c r="H53" s="20" t="str">
        <x:v>invoice_id + vendor + currency + amount + date_lag</x:v>
      </x:c>
      <x:c r="I53" s="28" t="n">
        <x:f>COUNTIF($A$2:$A$74,A53)</x:f>
        <x:v>1</x:v>
      </x:c>
      <x:c r="J53" s="28" t="n">
        <x:f>COUNTIF($B$2:$B$74,B53)</x:f>
        <x:v>1</x:v>
      </x:c>
      <x:c r="K53" s="20" t="str">
        <x:f>IF(AND(I53=1,J53=1,F53=0),"OK","CHECK")</x:f>
        <x:v>OK</x:v>
      </x:c>
    </x:row>
    <x:row r="54" ht="15" hidden="0" customHeight="1">
      <x:c r="A54" s="20" t="str">
        <x:v>SIM-2026-014</x:v>
      </x:c>
      <x:c r="B54" s="20" t="str">
        <x:v>TXN-20260710-0053</x:v>
      </x:c>
      <x:c r="C54" s="20" t="str">
        <x:v>positive_1_to_1</x:v>
      </x:c>
      <x:c r="D54" s="20" t="str">
        <x:v>USD</x:v>
      </x:c>
      <x:c r="E54" s="26" t="n">
        <x:v>2203.49</x:v>
      </x:c>
      <x:c r="F54" s="26" t="n">
        <x:v>0</x:v>
      </x:c>
      <x:c r="G54" s="28" t="n">
        <x:v>11</x:v>
      </x:c>
      <x:c r="H54" s="20" t="str">
        <x:v>invoice_id + vendor + currency + amount + date_lag</x:v>
      </x:c>
      <x:c r="I54" s="28" t="n">
        <x:f>COUNTIF($A$2:$A$74,A54)</x:f>
        <x:v>1</x:v>
      </x:c>
      <x:c r="J54" s="28" t="n">
        <x:f>COUNTIF($B$2:$B$74,B54)</x:f>
        <x:v>1</x:v>
      </x:c>
      <x:c r="K54" s="20" t="str">
        <x:f>IF(AND(I54=1,J54=1,F54=0),"OK","CHECK")</x:f>
        <x:v>OK</x:v>
      </x:c>
    </x:row>
    <x:row r="55" ht="15" hidden="0" customHeight="1">
      <x:c r="A55" s="20" t="str">
        <x:v>SIM-2026-016</x:v>
      </x:c>
      <x:c r="B55" s="20" t="str">
        <x:v>TXN-20260710-0054</x:v>
      </x:c>
      <x:c r="C55" s="20" t="str">
        <x:v>positive_1_to_1</x:v>
      </x:c>
      <x:c r="D55" s="20" t="str">
        <x:v>USD</x:v>
      </x:c>
      <x:c r="E55" s="26" t="n">
        <x:v>1811</x:v>
      </x:c>
      <x:c r="F55" s="26" t="n">
        <x:v>0</x:v>
      </x:c>
      <x:c r="G55" s="28" t="n">
        <x:v>7</x:v>
      </x:c>
      <x:c r="H55" s="20" t="str">
        <x:v>invoice_id + vendor + currency + amount + date_lag</x:v>
      </x:c>
      <x:c r="I55" s="28" t="n">
        <x:f>COUNTIF($A$2:$A$74,A55)</x:f>
        <x:v>1</x:v>
      </x:c>
      <x:c r="J55" s="28" t="n">
        <x:f>COUNTIF($B$2:$B$74,B55)</x:f>
        <x:v>1</x:v>
      </x:c>
      <x:c r="K55" s="20" t="str">
        <x:f>IF(AND(I55=1,J55=1,F55=0),"OK","CHECK")</x:f>
        <x:v>OK</x:v>
      </x:c>
    </x:row>
    <x:row r="56" ht="15" hidden="0" customHeight="1">
      <x:c r="A56" s="20" t="str">
        <x:v>SIM-2026-008</x:v>
      </x:c>
      <x:c r="B56" s="20" t="str">
        <x:v>TXN-20260713-0055</x:v>
      </x:c>
      <x:c r="C56" s="20" t="str">
        <x:v>positive_1_to_1</x:v>
      </x:c>
      <x:c r="D56" s="20" t="str">
        <x:v>USD</x:v>
      </x:c>
      <x:c r="E56" s="26" t="n">
        <x:v>2170</x:v>
      </x:c>
      <x:c r="F56" s="26" t="n">
        <x:v>0</x:v>
      </x:c>
      <x:c r="G56" s="28" t="n">
        <x:v>26</x:v>
      </x:c>
      <x:c r="H56" s="20" t="str">
        <x:v>invoice_id + vendor + currency + amount + date_lag</x:v>
      </x:c>
      <x:c r="I56" s="28" t="n">
        <x:f>COUNTIF($A$2:$A$74,A56)</x:f>
        <x:v>1</x:v>
      </x:c>
      <x:c r="J56" s="28" t="n">
        <x:f>COUNTIF($B$2:$B$74,B56)</x:f>
        <x:v>1</x:v>
      </x:c>
      <x:c r="K56" s="20" t="str">
        <x:f>IF(AND(I56=1,J56=1,F56=0),"OK","CHECK")</x:f>
        <x:v>OK</x:v>
      </x:c>
    </x:row>
    <x:row r="57" ht="15" hidden="0" customHeight="1">
      <x:c r="A57" s="20" t="str">
        <x:v>SIM-2026-015</x:v>
      </x:c>
      <x:c r="B57" s="20" t="str">
        <x:v>TXN-20260713-0056</x:v>
      </x:c>
      <x:c r="C57" s="20" t="str">
        <x:v>positive_1_to_1</x:v>
      </x:c>
      <x:c r="D57" s="20" t="str">
        <x:v>USD</x:v>
      </x:c>
      <x:c r="E57" s="26" t="n">
        <x:v>2953.43</x:v>
      </x:c>
      <x:c r="F57" s="26" t="n">
        <x:v>0</x:v>
      </x:c>
      <x:c r="G57" s="28" t="n">
        <x:v>12</x:v>
      </x:c>
      <x:c r="H57" s="20" t="str">
        <x:v>invoice_id + vendor + currency + amount + date_lag</x:v>
      </x:c>
      <x:c r="I57" s="28" t="n">
        <x:f>COUNTIF($A$2:$A$74,A57)</x:f>
        <x:v>1</x:v>
      </x:c>
      <x:c r="J57" s="28" t="n">
        <x:f>COUNTIF($B$2:$B$74,B57)</x:f>
        <x:v>1</x:v>
      </x:c>
      <x:c r="K57" s="20" t="str">
        <x:f>IF(AND(I57=1,J57=1,F57=0),"OK","CHECK")</x:f>
        <x:v>OK</x:v>
      </x:c>
    </x:row>
    <x:row r="58" ht="15" hidden="0" customHeight="1">
      <x:c r="A58" s="20" t="str">
        <x:v>SIM-2026-022</x:v>
      </x:c>
      <x:c r="B58" s="20" t="str">
        <x:v>TXN-20260713-0057</x:v>
      </x:c>
      <x:c r="C58" s="20" t="str">
        <x:v>positive_1_to_1</x:v>
      </x:c>
      <x:c r="D58" s="20" t="str">
        <x:v>USD</x:v>
      </x:c>
      <x:c r="E58" s="26" t="n">
        <x:v>2602.16</x:v>
      </x:c>
      <x:c r="F58" s="26" t="n">
        <x:v>0</x:v>
      </x:c>
      <x:c r="G58" s="28" t="n">
        <x:v>10</x:v>
      </x:c>
      <x:c r="H58" s="20" t="str">
        <x:v>invoice_id + vendor + currency + amount + date_lag</x:v>
      </x:c>
      <x:c r="I58" s="28" t="n">
        <x:f>COUNTIF($A$2:$A$74,A58)</x:f>
        <x:v>1</x:v>
      </x:c>
      <x:c r="J58" s="28" t="n">
        <x:f>COUNTIF($B$2:$B$74,B58)</x:f>
        <x:v>1</x:v>
      </x:c>
      <x:c r="K58" s="20" t="str">
        <x:f>IF(AND(I58=1,J58=1,F58=0),"OK","CHECK")</x:f>
        <x:v>OK</x:v>
      </x:c>
    </x:row>
    <x:row r="59" ht="15" hidden="0" customHeight="1">
      <x:c r="A59" s="20" t="str">
        <x:v>SIM-2026-023</x:v>
      </x:c>
      <x:c r="B59" s="20" t="str">
        <x:v>TXN-20260715-0058</x:v>
      </x:c>
      <x:c r="C59" s="20" t="str">
        <x:v>positive_1_to_1</x:v>
      </x:c>
      <x:c r="D59" s="20" t="str">
        <x:v>USD</x:v>
      </x:c>
      <x:c r="E59" s="26" t="n">
        <x:v>1735</x:v>
      </x:c>
      <x:c r="F59" s="26" t="n">
        <x:v>0</x:v>
      </x:c>
      <x:c r="G59" s="28" t="n">
        <x:v>10</x:v>
      </x:c>
      <x:c r="H59" s="20" t="str">
        <x:v>invoice_id + vendor + currency + amount + date_lag</x:v>
      </x:c>
      <x:c r="I59" s="28" t="n">
        <x:f>COUNTIF($A$2:$A$74,A59)</x:f>
        <x:v>1</x:v>
      </x:c>
      <x:c r="J59" s="28" t="n">
        <x:f>COUNTIF($B$2:$B$74,B59)</x:f>
        <x:v>1</x:v>
      </x:c>
      <x:c r="K59" s="20" t="str">
        <x:f>IF(AND(I59=1,J59=1,F59=0),"OK","CHECK")</x:f>
        <x:v>OK</x:v>
      </x:c>
    </x:row>
    <x:row r="60" ht="15" hidden="0" customHeight="1">
      <x:c r="A60" s="20" t="str">
        <x:v>SIM-2026-009</x:v>
      </x:c>
      <x:c r="B60" s="20" t="str">
        <x:v>TXN-20260716-0059</x:v>
      </x:c>
      <x:c r="C60" s="20" t="str">
        <x:v>positive_1_to_1</x:v>
      </x:c>
      <x:c r="D60" s="20" t="str">
        <x:v>USD</x:v>
      </x:c>
      <x:c r="E60" s="26" t="n">
        <x:v>2926.49</x:v>
      </x:c>
      <x:c r="F60" s="26" t="n">
        <x:v>0</x:v>
      </x:c>
      <x:c r="G60" s="28" t="n">
        <x:v>27</x:v>
      </x:c>
      <x:c r="H60" s="20" t="str">
        <x:v>invoice_id + vendor + currency + amount + date_lag</x:v>
      </x:c>
      <x:c r="I60" s="28" t="n">
        <x:f>COUNTIF($A$2:$A$74,A60)</x:f>
        <x:v>1</x:v>
      </x:c>
      <x:c r="J60" s="28" t="n">
        <x:f>COUNTIF($B$2:$B$74,B60)</x:f>
        <x:v>1</x:v>
      </x:c>
      <x:c r="K60" s="20" t="str">
        <x:f>IF(AND(I60=1,J60=1,F60=0),"OK","CHECK")</x:f>
        <x:v>OK</x:v>
      </x:c>
    </x:row>
    <x:row r="61" ht="15" hidden="0" customHeight="1">
      <x:c r="A61" s="20" t="str">
        <x:v>SIM-2026-017</x:v>
      </x:c>
      <x:c r="B61" s="20" t="str">
        <x:v>TXN-20260716-0060</x:v>
      </x:c>
      <x:c r="C61" s="20" t="str">
        <x:v>positive_1_to_1</x:v>
      </x:c>
      <x:c r="D61" s="20" t="str">
        <x:v>USD</x:v>
      </x:c>
      <x:c r="E61" s="26" t="n">
        <x:v>2650.65</x:v>
      </x:c>
      <x:c r="F61" s="26" t="n">
        <x:v>0</x:v>
      </x:c>
      <x:c r="G61" s="28" t="n">
        <x:v>11</x:v>
      </x:c>
      <x:c r="H61" s="20" t="str">
        <x:v>invoice_id + vendor + currency + amount + date_lag</x:v>
      </x:c>
      <x:c r="I61" s="28" t="n">
        <x:f>COUNTIF($A$2:$A$74,A61)</x:f>
        <x:v>1</x:v>
      </x:c>
      <x:c r="J61" s="28" t="n">
        <x:f>COUNTIF($B$2:$B$74,B61)</x:f>
        <x:v>1</x:v>
      </x:c>
      <x:c r="K61" s="20" t="str">
        <x:f>IF(AND(I61=1,J61=1,F61=0),"OK","CHECK")</x:f>
        <x:v>OK</x:v>
      </x:c>
    </x:row>
    <x:row r="62" ht="15" hidden="0" customHeight="1">
      <x:c r="A62" s="20" t="str">
        <x:v>SIM-2026-011</x:v>
      </x:c>
      <x:c r="B62" s="20" t="str">
        <x:v>TXN-20260720-0061</x:v>
      </x:c>
      <x:c r="C62" s="20" t="str">
        <x:v>positive_1_to_1</x:v>
      </x:c>
      <x:c r="D62" s="20" t="str">
        <x:v>USD</x:v>
      </x:c>
      <x:c r="E62" s="26" t="n">
        <x:v>2418.99</x:v>
      </x:c>
      <x:c r="F62" s="26" t="n">
        <x:v>0</x:v>
      </x:c>
      <x:c r="G62" s="28" t="n">
        <x:v>27</x:v>
      </x:c>
      <x:c r="H62" s="20" t="str">
        <x:v>invoice_id + vendor + currency + amount + date_lag</x:v>
      </x:c>
      <x:c r="I62" s="28" t="n">
        <x:f>COUNTIF($A$2:$A$74,A62)</x:f>
        <x:v>1</x:v>
      </x:c>
      <x:c r="J62" s="28" t="n">
        <x:f>COUNTIF($B$2:$B$74,B62)</x:f>
        <x:v>1</x:v>
      </x:c>
      <x:c r="K62" s="20" t="str">
        <x:f>IF(AND(I62=1,J62=1,F62=0),"OK","CHECK")</x:f>
        <x:v>OK</x:v>
      </x:c>
    </x:row>
    <x:row r="63" ht="15" hidden="0" customHeight="1">
      <x:c r="A63" s="20" t="str">
        <x:v>SIM-2026-018</x:v>
      </x:c>
      <x:c r="B63" s="20" t="str">
        <x:v>TXN-20260720-0062</x:v>
      </x:c>
      <x:c r="C63" s="20" t="str">
        <x:v>positive_1_to_1</x:v>
      </x:c>
      <x:c r="D63" s="20" t="str">
        <x:v>USD</x:v>
      </x:c>
      <x:c r="E63" s="26" t="n">
        <x:v>3356.41</x:v>
      </x:c>
      <x:c r="F63" s="26" t="n">
        <x:v>0</x:v>
      </x:c>
      <x:c r="G63" s="28" t="n">
        <x:v>13</x:v>
      </x:c>
      <x:c r="H63" s="20" t="str">
        <x:v>invoice_id + vendor + currency + amount + date_lag</x:v>
      </x:c>
      <x:c r="I63" s="28" t="n">
        <x:f>COUNTIF($A$2:$A$74,A63)</x:f>
        <x:v>1</x:v>
      </x:c>
      <x:c r="J63" s="28" t="n">
        <x:f>COUNTIF($B$2:$B$74,B63)</x:f>
        <x:v>1</x:v>
      </x:c>
      <x:c r="K63" s="20" t="str">
        <x:f>IF(AND(I63=1,J63=1,F63=0),"OK","CHECK")</x:f>
        <x:v>OK</x:v>
      </x:c>
    </x:row>
    <x:row r="64" ht="15" hidden="0" customHeight="1">
      <x:c r="A64" s="20" t="str">
        <x:v>SIM-2026-012</x:v>
      </x:c>
      <x:c r="B64" s="20" t="str">
        <x:v>TXN-20260721-0063</x:v>
      </x:c>
      <x:c r="C64" s="20" t="str">
        <x:v>positive_1_to_1</x:v>
      </x:c>
      <x:c r="D64" s="20" t="str">
        <x:v>USD</x:v>
      </x:c>
      <x:c r="E64" s="26" t="n">
        <x:v>3025</x:v>
      </x:c>
      <x:c r="F64" s="26" t="n">
        <x:v>0</x:v>
      </x:c>
      <x:c r="G64" s="28" t="n">
        <x:v>26</x:v>
      </x:c>
      <x:c r="H64" s="20" t="str">
        <x:v>invoice_id + vendor + currency + amount + date_lag</x:v>
      </x:c>
      <x:c r="I64" s="28" t="n">
        <x:f>COUNTIF($A$2:$A$74,A64)</x:f>
        <x:v>1</x:v>
      </x:c>
      <x:c r="J64" s="28" t="n">
        <x:f>COUNTIF($B$2:$B$74,B64)</x:f>
        <x:v>1</x:v>
      </x:c>
      <x:c r="K64" s="20" t="str">
        <x:f>IF(AND(I64=1,J64=1,F64=0),"OK","CHECK")</x:f>
        <x:v>OK</x:v>
      </x:c>
    </x:row>
    <x:row r="65" ht="15" hidden="0" customHeight="1">
      <x:c r="A65" s="20" t="str">
        <x:v>SIM-2026-019</x:v>
      </x:c>
      <x:c r="B65" s="20" t="str">
        <x:v>TXN-20260722-0064</x:v>
      </x:c>
      <x:c r="C65" s="20" t="str">
        <x:v>positive_1_to_1</x:v>
      </x:c>
      <x:c r="D65" s="20" t="str">
        <x:v>USD</x:v>
      </x:c>
      <x:c r="E65" s="26" t="n">
        <x:v>2316.63</x:v>
      </x:c>
      <x:c r="F65" s="26" t="n">
        <x:v>0</x:v>
      </x:c>
      <x:c r="G65" s="28" t="n">
        <x:v>13</x:v>
      </x:c>
      <x:c r="H65" s="20" t="str">
        <x:v>invoice_id + vendor + currency + amount + date_lag</x:v>
      </x:c>
      <x:c r="I65" s="28" t="n">
        <x:f>COUNTIF($A$2:$A$74,A65)</x:f>
        <x:v>1</x:v>
      </x:c>
      <x:c r="J65" s="28" t="n">
        <x:f>COUNTIF($B$2:$B$74,B65)</x:f>
        <x:v>1</x:v>
      </x:c>
      <x:c r="K65" s="20" t="str">
        <x:f>IF(AND(I65=1,J65=1,F65=0),"OK","CHECK")</x:f>
        <x:v>OK</x:v>
      </x:c>
    </x:row>
    <x:row r="66" ht="15" hidden="0" customHeight="1">
      <x:c r="A66" s="20" t="str">
        <x:v>SIM-2026-013</x:v>
      </x:c>
      <x:c r="B66" s="20" t="str">
        <x:v>TXN-20260723-0065</x:v>
      </x:c>
      <x:c r="C66" s="20" t="str">
        <x:v>positive_1_to_1</x:v>
      </x:c>
      <x:c r="D66" s="20" t="str">
        <x:v>USD</x:v>
      </x:c>
      <x:c r="E66" s="26" t="n">
        <x:v>2198.1</x:v>
      </x:c>
      <x:c r="F66" s="26" t="n">
        <x:v>0</x:v>
      </x:c>
      <x:c r="G66" s="28" t="n">
        <x:v>26</x:v>
      </x:c>
      <x:c r="H66" s="20" t="str">
        <x:v>invoice_id + vendor + currency + amount + date_lag</x:v>
      </x:c>
      <x:c r="I66" s="28" t="n">
        <x:f>COUNTIF($A$2:$A$74,A66)</x:f>
        <x:v>1</x:v>
      </x:c>
      <x:c r="J66" s="28" t="n">
        <x:f>COUNTIF($B$2:$B$74,B66)</x:f>
        <x:v>1</x:v>
      </x:c>
      <x:c r="K66" s="20" t="str">
        <x:f>IF(AND(I66=1,J66=1,F66=0),"OK","CHECK")</x:f>
        <x:v>OK</x:v>
      </x:c>
    </x:row>
    <x:row r="67" ht="15" hidden="0" customHeight="1">
      <x:c r="A67" s="20" t="str">
        <x:v>SIM-2026-020</x:v>
      </x:c>
      <x:c r="B67" s="20" t="str">
        <x:v>TXN-20260724-0066</x:v>
      </x:c>
      <x:c r="C67" s="20" t="str">
        <x:v>positive_1_to_1</x:v>
      </x:c>
      <x:c r="D67" s="20" t="str">
        <x:v>USD</x:v>
      </x:c>
      <x:c r="E67" s="26" t="n">
        <x:v>2685</x:v>
      </x:c>
      <x:c r="F67" s="26" t="n">
        <x:v>0</x:v>
      </x:c>
      <x:c r="G67" s="28" t="n">
        <x:v>13</x:v>
      </x:c>
      <x:c r="H67" s="20" t="str">
        <x:v>invoice_id + vendor + currency + amount + date_lag</x:v>
      </x:c>
      <x:c r="I67" s="28" t="n">
        <x:f>COUNTIF($A$2:$A$74,A67)</x:f>
        <x:v>1</x:v>
      </x:c>
      <x:c r="J67" s="28" t="n">
        <x:f>COUNTIF($B$2:$B$74,B67)</x:f>
        <x:v>1</x:v>
      </x:c>
      <x:c r="K67" s="20" t="str">
        <x:f>IF(AND(I67=1,J67=1,F67=0),"OK","CHECK")</x:f>
        <x:v>OK</x:v>
      </x:c>
    </x:row>
    <x:row r="68" ht="15" hidden="0" customHeight="1">
      <x:c r="A68" s="20" t="str">
        <x:v>SIM-2026-030</x:v>
      </x:c>
      <x:c r="B68" s="20" t="str">
        <x:v>TXN-20260729-0067</x:v>
      </x:c>
      <x:c r="C68" s="20" t="str">
        <x:v>positive_1_to_1</x:v>
      </x:c>
      <x:c r="D68" s="20" t="str">
        <x:v>USD</x:v>
      </x:c>
      <x:c r="E68" s="26" t="n">
        <x:v>1664.74</x:v>
      </x:c>
      <x:c r="F68" s="26" t="n">
        <x:v>0</x:v>
      </x:c>
      <x:c r="G68" s="28" t="n">
        <x:v>10</x:v>
      </x:c>
      <x:c r="H68" s="20" t="str">
        <x:v>invoice_id + vendor + currency + amount + date_lag</x:v>
      </x:c>
      <x:c r="I68" s="28" t="n">
        <x:f>COUNTIF($A$2:$A$74,A68)</x:f>
        <x:v>1</x:v>
      </x:c>
      <x:c r="J68" s="28" t="n">
        <x:f>COUNTIF($B$2:$B$74,B68)</x:f>
        <x:v>1</x:v>
      </x:c>
      <x:c r="K68" s="20" t="str">
        <x:f>IF(AND(I68=1,J68=1,F68=0),"OK","CHECK")</x:f>
        <x:v>OK</x:v>
      </x:c>
    </x:row>
    <x:row r="69" ht="15" hidden="0" customHeight="1">
      <x:c r="A69" s="20" t="str">
        <x:v>SIM-2026-025</x:v>
      </x:c>
      <x:c r="B69" s="20" t="str">
        <x:v>TXN-20260731-0068</x:v>
      </x:c>
      <x:c r="C69" s="20" t="str">
        <x:v>positive_1_to_1</x:v>
      </x:c>
      <x:c r="D69" s="20" t="str">
        <x:v>USD</x:v>
      </x:c>
      <x:c r="E69" s="26" t="n">
        <x:v>2241.2</x:v>
      </x:c>
      <x:c r="F69" s="26" t="n">
        <x:v>0</x:v>
      </x:c>
      <x:c r="G69" s="28" t="n">
        <x:v>22</x:v>
      </x:c>
      <x:c r="H69" s="20" t="str">
        <x:v>invoice_id + vendor + currency + amount + date_lag</x:v>
      </x:c>
      <x:c r="I69" s="28" t="n">
        <x:f>COUNTIF($A$2:$A$74,A69)</x:f>
        <x:v>1</x:v>
      </x:c>
      <x:c r="J69" s="28" t="n">
        <x:f>COUNTIF($B$2:$B$74,B69)</x:f>
        <x:v>1</x:v>
      </x:c>
      <x:c r="K69" s="20" t="str">
        <x:f>IF(AND(I69=1,J69=1,F69=0),"OK","CHECK")</x:f>
        <x:v>OK</x:v>
      </x:c>
    </x:row>
    <x:row r="70" ht="15" hidden="0" customHeight="1">
      <x:c r="A70" s="20" t="str">
        <x:v>SIM-2026-028</x:v>
      </x:c>
      <x:c r="B70" s="20" t="str">
        <x:v>TXN-20260731-0069</x:v>
      </x:c>
      <x:c r="C70" s="20" t="str">
        <x:v>positive_1_to_1</x:v>
      </x:c>
      <x:c r="D70" s="20" t="str">
        <x:v>USD</x:v>
      </x:c>
      <x:c r="E70" s="26" t="n">
        <x:v>1690</x:v>
      </x:c>
      <x:c r="F70" s="26" t="n">
        <x:v>0</x:v>
      </x:c>
      <x:c r="G70" s="28" t="n">
        <x:v>16</x:v>
      </x:c>
      <x:c r="H70" s="20" t="str">
        <x:v>invoice_id + vendor + currency + amount + date_lag</x:v>
      </x:c>
      <x:c r="I70" s="28" t="n">
        <x:f>COUNTIF($A$2:$A$74,A70)</x:f>
        <x:v>1</x:v>
      </x:c>
      <x:c r="J70" s="28" t="n">
        <x:f>COUNTIF($B$2:$B$74,B70)</x:f>
        <x:v>1</x:v>
      </x:c>
      <x:c r="K70" s="20" t="str">
        <x:f>IF(AND(I70=1,J70=1,F70=0),"OK","CHECK")</x:f>
        <x:v>OK</x:v>
      </x:c>
    </x:row>
    <x:row r="71" ht="15" hidden="0" customHeight="1">
      <x:c r="A71" s="20" t="str">
        <x:v>SIM-2026-024</x:v>
      </x:c>
      <x:c r="B71" s="20" t="str">
        <x:v>TXN-20260803-0070</x:v>
      </x:c>
      <x:c r="C71" s="20" t="str">
        <x:v>positive_1_to_1</x:v>
      </x:c>
      <x:c r="D71" s="20" t="str">
        <x:v>USD</x:v>
      </x:c>
      <x:c r="E71" s="26" t="n">
        <x:v>2995.45</x:v>
      </x:c>
      <x:c r="F71" s="26" t="n">
        <x:v>0</x:v>
      </x:c>
      <x:c r="G71" s="28" t="n">
        <x:v>27</x:v>
      </x:c>
      <x:c r="H71" s="20" t="str">
        <x:v>invoice_id + vendor + currency + amount + date_lag</x:v>
      </x:c>
      <x:c r="I71" s="28" t="n">
        <x:f>COUNTIF($A$2:$A$74,A71)</x:f>
        <x:v>1</x:v>
      </x:c>
      <x:c r="J71" s="28" t="n">
        <x:f>COUNTIF($B$2:$B$74,B71)</x:f>
        <x:v>1</x:v>
      </x:c>
      <x:c r="K71" s="20" t="str">
        <x:f>IF(AND(I71=1,J71=1,F71=0),"OK","CHECK")</x:f>
        <x:v>OK</x:v>
      </x:c>
    </x:row>
    <x:row r="72" ht="15" hidden="0" customHeight="1">
      <x:c r="A72" s="20" t="str">
        <x:v>SIM-2026-026</x:v>
      </x:c>
      <x:c r="B72" s="20" t="str">
        <x:v>TXN-20260807-0071</x:v>
      </x:c>
      <x:c r="C72" s="20" t="str">
        <x:v>positive_1_to_1</x:v>
      </x:c>
      <x:c r="D72" s="20" t="str">
        <x:v>USD</x:v>
      </x:c>
      <x:c r="E72" s="26" t="n">
        <x:v>1842.53</x:v>
      </x:c>
      <x:c r="F72" s="26" t="n">
        <x:v>0</x:v>
      </x:c>
      <x:c r="G72" s="28" t="n">
        <x:v>27</x:v>
      </x:c>
      <x:c r="H72" s="20" t="str">
        <x:v>invoice_id + vendor + currency + amount + date_lag</x:v>
      </x:c>
      <x:c r="I72" s="28" t="n">
        <x:f>COUNTIF($A$2:$A$74,A72)</x:f>
        <x:v>1</x:v>
      </x:c>
      <x:c r="J72" s="28" t="n">
        <x:f>COUNTIF($B$2:$B$74,B72)</x:f>
        <x:v>1</x:v>
      </x:c>
      <x:c r="K72" s="20" t="str">
        <x:f>IF(AND(I72=1,J72=1,F72=0),"OK","CHECK")</x:f>
        <x:v>OK</x:v>
      </x:c>
    </x:row>
    <x:row r="73" ht="15" hidden="0" customHeight="1">
      <x:c r="A73" s="20" t="str">
        <x:v>SIM-2026-027</x:v>
      </x:c>
      <x:c r="B73" s="20" t="str">
        <x:v>TXN-20260810-0072</x:v>
      </x:c>
      <x:c r="C73" s="20" t="str">
        <x:v>positive_1_to_1</x:v>
      </x:c>
      <x:c r="D73" s="20" t="str">
        <x:v>USD</x:v>
      </x:c>
      <x:c r="E73" s="26" t="n">
        <x:v>2160.39</x:v>
      </x:c>
      <x:c r="F73" s="26" t="n">
        <x:v>0</x:v>
      </x:c>
      <x:c r="G73" s="28" t="n">
        <x:v>28</x:v>
      </x:c>
      <x:c r="H73" s="20" t="str">
        <x:v>invoice_id + vendor + currency + amount + date_lag</x:v>
      </x:c>
      <x:c r="I73" s="28" t="n">
        <x:f>COUNTIF($A$2:$A$74,A73)</x:f>
        <x:v>1</x:v>
      </x:c>
      <x:c r="J73" s="28" t="n">
        <x:f>COUNTIF($B$2:$B$74,B73)</x:f>
        <x:v>1</x:v>
      </x:c>
      <x:c r="K73" s="20" t="str">
        <x:f>IF(AND(I73=1,J73=1,F73=0),"OK","CHECK")</x:f>
        <x:v>OK</x:v>
      </x:c>
    </x:row>
    <x:row r="74" ht="15" hidden="0" customHeight="1">
      <x:c r="A74" s="22" t="str">
        <x:v>SIM-2026-029</x:v>
      </x:c>
      <x:c r="B74" s="22" t="str">
        <x:v>TXN-20260812-0073</x:v>
      </x:c>
      <x:c r="C74" s="22" t="str">
        <x:v>positive_1_to_1</x:v>
      </x:c>
      <x:c r="D74" s="22" t="str">
        <x:v>USD</x:v>
      </x:c>
      <x:c r="E74" s="27" t="n">
        <x:v>2629.1</x:v>
      </x:c>
      <x:c r="F74" s="27" t="n">
        <x:v>0</x:v>
      </x:c>
      <x:c r="G74" s="29" t="n">
        <x:v>26</x:v>
      </x:c>
      <x:c r="H74" s="22" t="str">
        <x:v>invoice_id + vendor + currency + amount + date_lag</x:v>
      </x:c>
      <x:c r="I74" s="29" t="n">
        <x:f>COUNTIF($A$2:$A$74,A74)</x:f>
        <x:v>1</x:v>
      </x:c>
      <x:c r="J74" s="29" t="n">
        <x:f>COUNTIF($B$2:$B$74,B74)</x:f>
        <x:v>1</x:v>
      </x:c>
      <x:c r="K74" s="22" t="str">
        <x:f>IF(AND(I74=1,J74=1,F74=0),"OK","CHECK")</x:f>
        <x:v>OK</x:v>
      </x:c>
    </x:row>
  </x:sheetData>
  <x:conditionalFormatting sqref="K2:K74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2a4cefbd05b245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2" hidden="0" customWidth="1"/>
    <x:col min="3" max="3" width="18" hidden="0" customWidth="1"/>
    <x:col min="4" max="4" width="42" hidden="0" customWidth="1"/>
    <x:col min="5" max="5" width="14" hidden="0" customWidth="1"/>
    <x:col min="6" max="6" width="18" hidden="0" customWidth="1"/>
    <x:col min="7" max="7" width="36" hidden="0" customWidth="1"/>
  </x:cols>
  <x:sheetData>
    <x:row r="1" ht="15" hidden="0" customHeight="1">
      <x:c r="A1" s="18" t="str">
        <x:v>source_file</x:v>
      </x:c>
      <x:c r="B1" s="19" t="str">
        <x:v>source_page</x:v>
      </x:c>
      <x:c r="C1" s="18" t="str">
        <x:v>invoice_id</x:v>
      </x:c>
      <x:c r="D1" s="18" t="str">
        <x:v>reason</x:v>
      </x:c>
      <x:c r="E1" s="19" t="str">
        <x:v>amount</x:v>
      </x:c>
      <x:c r="F1" s="18" t="str">
        <x:v>invoice_date_raw</x:v>
      </x:c>
      <x:c r="G1" s="18" t="str">
        <x:v>vendor_raw</x:v>
      </x:c>
    </x:row>
    <x:row r="2" ht="15" hidden="0" customHeight="1">
      <x:c r="A2" s="20" t="str">
        <x:v>Ogier Invoice No 6024081.pdf</x:v>
      </x:c>
      <x:c r="B2" s="28" t="n">
        <x:v>2</x:v>
      </x:c>
      <x:c r="C2" s="20" t="str">
        <x:v>517222</x:v>
      </x:c>
      <x:c r="D2" s="30" t="str">
        <x:v>missing date/amount or non-invoice continuation page</x:v>
      </x:c>
      <x:c r="E2" s="26" t="n">
        <x:v>3295</x:v>
      </x:c>
      <x:c r="F2" s="20" t="str"/>
      <x:c r="G2" s="20" t="str">
        <x:v>Ogier</x:v>
      </x:c>
    </x:row>
    <x:row r="3" ht="15" hidden="0" customHeight="1">
      <x:c r="A3" s="20" t="str">
        <x:v>invoices_all_20/invoice_01_TAL-2025-1000.pdf</x:v>
      </x:c>
      <x:c r="B3" s="28" t="n">
        <x:v>2</x:v>
      </x:c>
      <x:c r="C3" s="20" t="str">
        <x:v>TAL-2025-1000</x:v>
      </x:c>
      <x:c r="D3" s="30" t="str">
        <x:v>missing date/amount or non-invoice continuation page</x:v>
      </x:c>
      <x:c r="E3" s="26" t="n">
        <x:v>2201</x:v>
      </x:c>
      <x:c r="F3" s="20" t="str"/>
      <x:c r="G3" s="20" t="str">
        <x:v>Thornfield Advisory Ltd  |  Unit 2201, 22/F, One Exchange Square, Central, HK  |  +852 2100 8800</x:v>
      </x:c>
    </x:row>
    <x:row r="4" ht="15" hidden="0" customHeight="1">
      <x:c r="A4" s="20" t="str">
        <x:v>invoices_all_20/invoice_03_HCG-2025-1002.pdf</x:v>
      </x:c>
      <x:c r="B4" s="28" t="n">
        <x:v>2</x:v>
      </x:c>
      <x:c r="C4" s="20" t="str">
        <x:v>HCG-2025-1002</x:v>
      </x:c>
      <x:c r="D4" s="30" t="str">
        <x:v>missing date/amount or non-invoice continuation page</x:v>
      </x:c>
      <x:c r="E4" s="26" t="n">
        <x:v>1400</x:v>
      </x:c>
      <x:c r="F4" s="20" t="str"/>
      <x:c r="G4" s="20" t="str">
        <x:v>Halcyon Consulting Group  ·  Suite 1400, 1 King Street West, Toronto, ON M5H 1A1, Canada  ·  +1 416 867 3000</x:v>
      </x:c>
    </x:row>
    <x:row r="5" ht="15" hidden="0" customHeight="1">
      <x:c r="A5" s="20" t="str">
        <x:v>invoices_all_20/invoice_05_KCS-2025-1004.pdf</x:v>
      </x:c>
      <x:c r="B5" s="28" t="n">
        <x:v>2</x:v>
      </x:c>
      <x:c r="C5" s="20" t="str">
        <x:v>KCS-2025-1004</x:v>
      </x:c>
      <x:c r="D5" s="30" t="str">
        <x:v>missing date/amount or non-invoice continuation page</x:v>
      </x:c>
      <x:c r="E5" s="26" t="str"/>
      <x:c r="F5" s="20" t="str"/>
      <x:c r="G5" s="20" t="str">
        <x:v>Kestrel Capital Services  ·  30 Crown Place, London EC2A 4EB, UK  ·  +44 20 7710 3000</x:v>
      </x:c>
    </x:row>
    <x:row r="6" ht="15" hidden="0" customHeight="1">
      <x:c r="A6" s="20" t="str">
        <x:v>invoices_all_20/invoice_06_AFS-2025-1005.pdf</x:v>
      </x:c>
      <x:c r="B6" s="28" t="n">
        <x:v>2</x:v>
      </x:c>
      <x:c r="C6" s="20" t="str">
        <x:v>AFS-2025-1005</x:v>
      </x:c>
      <x:c r="D6" s="30" t="str">
        <x:v>missing date/amount or non-invoice continuation page</x:v>
      </x:c>
      <x:c r="E6" s="26" t="n">
        <x:v>48619</x:v>
      </x:c>
      <x:c r="F6" s="20" t="str"/>
      <x:c r="G6" s="20" t="str">
        <x:v>Ardent Financial Solutions  |  9 Raffles Place, #38-01, Republic Plaza, Singapore 048619  |  +65 6536 8000</x:v>
      </x:c>
    </x:row>
    <x:row r="7" ht="15" hidden="0" customHeight="1">
      <x:c r="A7" s="20" t="str">
        <x:v>invoices_all_20/invoice_08_PFL-2026-1007.pdf</x:v>
      </x:c>
      <x:c r="B7" s="28" t="n">
        <x:v>2</x:v>
      </x:c>
      <x:c r="C7" s="20" t="str">
        <x:v>PFL-2026-1007</x:v>
      </x:c>
      <x:c r="D7" s="30" t="str">
        <x:v>missing date/amount or non-invoice continuation page</x:v>
      </x:c>
      <x:c r="E7" s="26" t="str"/>
      <x:c r="F7" s="20" t="str"/>
      <x:c r="G7" s="20" t="str">
        <x:v>Paragon Fiduciary Ltd  ·  Bockenheimer Landstr. 24, 60323 Frankfurt, Germany  ·  +49 69 7550 0</x:v>
      </x:c>
    </x:row>
    <x:row r="8" ht="15" hidden="0" customHeight="1">
      <x:c r="A8" s="20" t="str">
        <x:v>invoices_all_20/invoice_10_CML-2025-1009.pdf</x:v>
      </x:c>
      <x:c r="B8" s="28" t="n">
        <x:v>2</x:v>
      </x:c>
      <x:c r="C8" s="20" t="str">
        <x:v>CML-2025-1009</x:v>
      </x:c>
      <x:c r="D8" s="30" t="str">
        <x:v>missing date/amount or non-invoice continuation page</x:v>
      </x:c>
      <x:c r="E8" s="26" t="n">
        <x:v>3000</x:v>
      </x:c>
      <x:c r="F8" s="20" t="str"/>
      <x:c r="G8" s="20" t="str">
        <x:v>Crestline Management Ltd  ·  Level 32, 101 Collins Street, Melbourne VIC 3000, Australia  ·  +61 3 9643 4000</x:v>
      </x:c>
    </x:row>
    <x:row r="9" ht="15" hidden="0" customHeight="1">
      <x:c r="A9" s="20" t="str">
        <x:v>invoices_all_20/invoice_11_IAG-2025-1010.pdf</x:v>
      </x:c>
      <x:c r="B9" s="28" t="n">
        <x:v>2</x:v>
      </x:c>
      <x:c r="C9" s="20" t="str">
        <x:v>IAG-2025-1010</x:v>
      </x:c>
      <x:c r="D9" s="30" t="str">
        <x:v>missing date/amount or non-invoice continuation page</x:v>
      </x:c>
      <x:c r="E9" s="26" t="n">
        <x:v>10</x:v>
      </x:c>
      <x:c r="F9" s="20" t="str"/>
      <x:c r="G9" s="20" t="str">
        <x:v>Irongate Advisory GmbH  |  Bahnhofstrasse 10, 8001 Zurich, Switzerland  |  +41 44 225 6000</x:v>
      </x:c>
    </x:row>
    <x:row r="10" ht="15" hidden="0" customHeight="1">
      <x:c r="A10" s="20" t="str">
        <x:v>invoices_all_20/invoice_13_CCL-2026-1012.pdf</x:v>
      </x:c>
      <x:c r="B10" s="28" t="n">
        <x:v>2</x:v>
      </x:c>
      <x:c r="C10" s="20" t="str">
        <x:v>CCL-2026-1012</x:v>
      </x:c>
      <x:c r="D10" s="30" t="str">
        <x:v>missing date/amount or non-invoice continuation page</x:v>
      </x:c>
      <x:c r="E10" s="26" t="n">
        <x:v>4502</x:v>
      </x:c>
      <x:c r="F10" s="20" t="str"/>
      <x:c r="G10" s="20" t="str">
        <x:v>Caraway Capital Ltd  ·  Unit 4502, Cheung Kong Center, 2 Queen's Road Central, HK  ·  +852 2878 1000</x:v>
      </x:c>
    </x:row>
    <x:row r="11" ht="15" hidden="0" customHeight="1">
      <x:c r="A11" s="20" t="str">
        <x:v>invoices_all_20/invoice_15_FGI-2026-1014.pdf</x:v>
      </x:c>
      <x:c r="B11" s="28" t="n">
        <x:v>2</x:v>
      </x:c>
      <x:c r="C11" s="20" t="str">
        <x:v>FGI-2026-1014</x:v>
      </x:c>
      <x:c r="D11" s="30" t="str">
        <x:v>missing date/amount or non-invoice continuation page</x:v>
      </x:c>
      <x:c r="E11" s="26" t="str"/>
      <x:c r="F11" s="20" t="str"/>
      <x:c r="G11" s="20" t="str">
        <x:v>Fairwater Group Inc.  ·  1221 Avenue of the Americas, New York, NY 10020, USA  ·  +1 212 909 5000</x:v>
      </x:c>
    </x:row>
    <x:row r="12" ht="15" hidden="0" customHeight="1">
      <x:c r="A12" s="20" t="str">
        <x:v>invoices_all_20/invoice_16_BAL-2025-1015.pdf</x:v>
      </x:c>
      <x:c r="B12" s="28" t="n">
        <x:v>2</x:v>
      </x:c>
      <x:c r="C12" s="20" t="str">
        <x:v>BAL-2025-1015</x:v>
      </x:c>
      <x:c r="D12" s="30" t="str">
        <x:v>missing date/amount or non-invoice continuation page</x:v>
      </x:c>
      <x:c r="E12" s="26" t="str"/>
      <x:c r="F12" s="20" t="str"/>
      <x:c r="G12" s="20" t="str">
        <x:v>Bridgestone Advisory Ltd  |  32F, Two International Finance Centre, Hong Kong  |  +852 2501 7500</x:v>
      </x:c>
    </x:row>
    <x:row r="13" ht="15" hidden="0" customHeight="1">
      <x:c r="A13" s="20" t="str">
        <x:v>invoices_all_20/invoice_18_MEA-2025-1017.pdf</x:v>
      </x:c>
      <x:c r="B13" s="28" t="n">
        <x:v>2</x:v>
      </x:c>
      <x:c r="C13" s="20" t="str">
        <x:v>MEA-2025-1017</x:v>
      </x:c>
      <x:c r="D13" s="30" t="str">
        <x:v>missing date/amount or non-invoice continuation page</x:v>
      </x:c>
      <x:c r="E13" s="26" t="str"/>
      <x:c r="F13" s="20" t="str"/>
      <x:c r="G13" s="20" t="str">
        <x:v>Meridian Edge Advisors  ·  21/F, 9 Queen's Road Central, Hong Kong  ·  +852 2167 3000</x:v>
      </x:c>
    </x:row>
    <x:row r="14" ht="15" hidden="0" customHeight="1">
      <x:c r="A14" s="22" t="str">
        <x:v>invoices_all_20/invoice_20_CWM-2025-1019.pdf</x:v>
      </x:c>
      <x:c r="B14" s="29" t="n">
        <x:v>2</x:v>
      </x:c>
      <x:c r="C14" s="22" t="str">
        <x:v>CWM-2025-1019</x:v>
      </x:c>
      <x:c r="D14" s="31" t="str">
        <x:v>missing date/amount or non-invoice continuation page</x:v>
      </x:c>
      <x:c r="E14" s="27" t="n">
        <x:v>2000</x:v>
      </x:c>
      <x:c r="F14" s="22" t="str"/>
      <x:c r="G14" s="22" t="str">
        <x:v>Crestone Wealth Management  ·  Level 14, 5 Martin Place, Sydney NSW 2000, Australia  ·  +61 2 9325 4000</x:v>
      </x:c>
    </x:row>
  </x:sheetData>
  <x:pageMargins left="0.7" right="0.7" top="0.75" bottom="0.75" header="0.3" footer="0.3"/>
  <x:tableParts count="1">
    <x:tablePart xmlns:r="http://schemas.openxmlformats.org/officeDocument/2006/relationships" r:id="Rc93cb7753e444cd4"/>
  </x:tableParts>
</x:worksheet>
</file>